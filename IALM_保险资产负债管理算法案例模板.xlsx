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总览导航" sheetId="1" state="visible" r:id="rId1"/>
    <sheet xmlns:r="http://schemas.openxmlformats.org/officeDocument/2006/relationships" name="01-期限结构匹配率" sheetId="2" state="visible" r:id="rId2"/>
    <sheet xmlns:r="http://schemas.openxmlformats.org/officeDocument/2006/relationships" name="02-综合成本收益比" sheetId="3" state="visible" r:id="rId3"/>
    <sheet xmlns:r="http://schemas.openxmlformats.org/officeDocument/2006/relationships" name="03-现金流回正期" sheetId="4" state="visible" r:id="rId4"/>
    <sheet xmlns:r="http://schemas.openxmlformats.org/officeDocument/2006/relationships" name="04-久期与凸性" sheetId="5" state="visible" r:id="rId5"/>
    <sheet xmlns:r="http://schemas.openxmlformats.org/officeDocument/2006/relationships" name="05-现金流预测" sheetId="6" state="visible" r:id="rId6"/>
    <sheet xmlns:r="http://schemas.openxmlformats.org/officeDocument/2006/relationships" name="06-蒙特卡洛情景" sheetId="7" state="visible" r:id="rId7"/>
    <sheet xmlns:r="http://schemas.openxmlformats.org/officeDocument/2006/relationships" name="07-压力测试" sheetId="8" state="visible" r:id="rId8"/>
    <sheet xmlns:r="http://schemas.openxmlformats.org/officeDocument/2006/relationships" name="08-Markowitz配置" sheetId="9" state="visible" r:id="rId9"/>
    <sheet xmlns:r="http://schemas.openxmlformats.org/officeDocument/2006/relationships" name="10-Brinson归因" sheetId="10" state="visible" r:id="rId10"/>
    <sheet xmlns:r="http://schemas.openxmlformats.org/officeDocument/2006/relationships" name="11-VaR-CVa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000"/>
    <numFmt numFmtId="166" formatCode="#,##0.0000"/>
    <numFmt numFmtId="167" formatCode="0.000%"/>
    <numFmt numFmtId="168" formatCode="0.0000%"/>
    <numFmt numFmtId="169" formatCode="0.000000"/>
    <numFmt numFmtId="170" formatCode="0.000"/>
  </numFmts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sz val="11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color rgb="000563C1"/>
      <sz val="10"/>
      <u val="single"/>
    </font>
    <font>
      <name val="微软雅黑"/>
      <b val="1"/>
      <sz val="10"/>
    </font>
    <font>
      <name val="微软雅黑"/>
      <b val="1"/>
      <color rgb="001F4E78"/>
      <sz val="12"/>
    </font>
    <font>
      <name val="微软雅黑"/>
      <i val="1"/>
      <color rgb="00C00000"/>
      <sz val="10"/>
    </font>
    <font>
      <name val="微软雅黑"/>
      <i val="1"/>
      <color rgb="00666666"/>
      <sz val="9"/>
    </font>
    <font>
      <name val="微软雅黑"/>
      <color rgb="000000FF"/>
      <sz val="10"/>
    </font>
    <font>
      <name val="微软雅黑"/>
      <color rgb="00000000"/>
      <sz val="10"/>
    </font>
    <font>
      <name val="微软雅黑"/>
      <b val="1"/>
      <color rgb="00C00000"/>
      <sz val="11"/>
    </font>
    <font>
      <name val="微软雅黑"/>
      <color rgb="00008000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8F8F8"/>
      </patternFill>
    </fill>
    <fill>
      <patternFill patternType="solid">
        <fgColor rgb="004472C4"/>
      </patternFill>
    </fill>
    <fill>
      <patternFill patternType="solid">
        <fgColor rgb="00305496"/>
      </patternFill>
    </fill>
    <fill>
      <patternFill patternType="solid">
        <fgColor rgb="00E7EE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  <border>
      <left/>
      <right/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3" fontId="11" fillId="9" borderId="1" applyAlignment="1" pivotButton="0" quotePrefix="0" xfId="0">
      <alignment horizontal="right" vertical="center"/>
    </xf>
    <xf numFmtId="164" fontId="11" fillId="9" borderId="1" applyAlignment="1" pivotButton="0" quotePrefix="0" xfId="0">
      <alignment horizontal="center" vertical="center" wrapText="1"/>
    </xf>
    <xf numFmtId="10" fontId="12" fillId="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3" fontId="13" fillId="1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0" fontId="13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49" fontId="13" fillId="10" borderId="1" applyAlignment="1" pivotButton="0" quotePrefix="0" xfId="0">
      <alignment horizontal="center" vertical="center" wrapText="1"/>
    </xf>
    <xf numFmtId="2" fontId="13" fillId="10" borderId="1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center" wrapText="1"/>
    </xf>
    <xf numFmtId="10" fontId="11" fillId="9" borderId="1" applyAlignment="1" pivotButton="0" quotePrefix="0" xfId="0">
      <alignment horizontal="right" vertical="center"/>
    </xf>
    <xf numFmtId="4" fontId="12" fillId="0" borderId="1" applyAlignment="1" pivotButton="0" quotePrefix="0" xfId="0">
      <alignment horizontal="right" vertical="center"/>
    </xf>
    <xf numFmtId="10" fontId="12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3" fillId="10" borderId="1" applyAlignment="1" pivotButton="0" quotePrefix="0" xfId="0">
      <alignment horizontal="center" vertical="center" wrapText="1"/>
    </xf>
    <xf numFmtId="3" fontId="13" fillId="10" borderId="1" applyAlignment="1" pivotButton="0" quotePrefix="0" xfId="0">
      <alignment horizontal="right" vertical="center"/>
    </xf>
    <xf numFmtId="10" fontId="13" fillId="10" borderId="1" applyAlignment="1" pivotButton="0" quotePrefix="0" xfId="0">
      <alignment horizontal="right" vertical="center"/>
    </xf>
    <xf numFmtId="4" fontId="13" fillId="10" borderId="1" applyAlignment="1" pivotButton="0" quotePrefix="0" xfId="0">
      <alignment horizontal="right" vertical="center"/>
    </xf>
    <xf numFmtId="0" fontId="0" fillId="0" borderId="1" pivotButton="0" quotePrefix="0" xfId="0"/>
    <xf numFmtId="165" fontId="13" fillId="10" borderId="1" applyAlignment="1" pivotButton="0" quotePrefix="0" xfId="0">
      <alignment horizontal="center" vertical="center" wrapText="1"/>
    </xf>
    <xf numFmtId="0" fontId="0" fillId="0" borderId="5" pivotButton="0" quotePrefix="0" xfId="0"/>
    <xf numFmtId="1" fontId="11" fillId="9" borderId="1" applyAlignment="1" pivotButton="0" quotePrefix="0" xfId="0">
      <alignment horizontal="center" vertical="center" wrapText="1"/>
    </xf>
    <xf numFmtId="3" fontId="12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center" vertical="center" wrapText="1"/>
    </xf>
    <xf numFmtId="164" fontId="13" fillId="10" borderId="1" applyAlignment="1" pivotButton="0" quotePrefix="0" xfId="0">
      <alignment horizontal="center" vertical="center" wrapText="1"/>
    </xf>
    <xf numFmtId="165" fontId="11" fillId="9" borderId="1" applyAlignment="1" pivotButton="0" quotePrefix="0" xfId="0">
      <alignment horizontal="center" vertical="center" wrapText="1"/>
    </xf>
    <xf numFmtId="165" fontId="12" fillId="0" borderId="1" applyAlignment="1" pivotButton="0" quotePrefix="0" xfId="0">
      <alignment horizontal="right" vertical="center"/>
    </xf>
    <xf numFmtId="4" fontId="13" fillId="10" borderId="1" applyAlignment="1" pivotButton="0" quotePrefix="0" xfId="0">
      <alignment horizontal="center" vertical="center" wrapText="1"/>
    </xf>
    <xf numFmtId="166" fontId="13" fillId="10" borderId="1" applyAlignment="1" pivotButton="0" quotePrefix="0" xfId="0">
      <alignment horizontal="center" vertical="center" wrapText="1"/>
    </xf>
    <xf numFmtId="2" fontId="11" fillId="9" borderId="1" applyAlignment="1" pivotButton="0" quotePrefix="0" xfId="0">
      <alignment horizontal="center" vertical="center" wrapText="1"/>
    </xf>
    <xf numFmtId="3" fontId="11" fillId="9" borderId="1" applyAlignment="1" pivotButton="0" quotePrefix="0" xfId="0">
      <alignment horizontal="center" vertical="center" wrapText="1"/>
    </xf>
    <xf numFmtId="167" fontId="11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0" fontId="11" fillId="9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168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169" fontId="12" fillId="0" borderId="1" applyAlignment="1" pivotButton="0" quotePrefix="0" xfId="0">
      <alignment horizontal="center" vertical="center" wrapText="1"/>
    </xf>
    <xf numFmtId="10" fontId="14" fillId="0" borderId="1" applyAlignment="1" pivotButton="0" quotePrefix="0" xfId="0">
      <alignment horizontal="right" vertical="center"/>
    </xf>
    <xf numFmtId="169" fontId="12" fillId="0" borderId="1" applyAlignment="1" pivotButton="0" quotePrefix="0" xfId="0">
      <alignment horizontal="right" vertical="center"/>
    </xf>
    <xf numFmtId="169" fontId="13" fillId="10" borderId="1" applyAlignment="1" pivotButton="0" quotePrefix="0" xfId="0">
      <alignment horizontal="right" vertical="center"/>
    </xf>
    <xf numFmtId="165" fontId="13" fillId="10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168" fontId="11" fillId="9" borderId="1" applyAlignment="1" pivotButton="0" quotePrefix="0" xfId="0">
      <alignment horizontal="center" vertical="center" wrapText="1"/>
    </xf>
    <xf numFmtId="168" fontId="11" fillId="9" borderId="1" applyAlignment="1" pivotButton="0" quotePrefix="0" xfId="0">
      <alignment horizontal="right" vertical="center"/>
    </xf>
    <xf numFmtId="168" fontId="12" fillId="0" borderId="1" applyAlignment="1" pivotButton="0" quotePrefix="0" xfId="0">
      <alignment horizontal="right" vertical="center"/>
    </xf>
    <xf numFmtId="168" fontId="13" fillId="10" borderId="1" applyAlignment="1" pivotButton="0" quotePrefix="0" xfId="0">
      <alignment horizontal="center" vertical="center" wrapText="1"/>
    </xf>
    <xf numFmtId="170" fontId="1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-&#26399;&#38480;&#32467;&#26500;&#21305;&#37197;&#29575;'!A1" TargetMode="External" Id="rId1"/><Relationship Type="http://schemas.openxmlformats.org/officeDocument/2006/relationships/hyperlink" Target="#'02-&#32508;&#21512;&#25104;&#26412;&#25910;&#30410;&#27604;'!A1" TargetMode="External" Id="rId2"/><Relationship Type="http://schemas.openxmlformats.org/officeDocument/2006/relationships/hyperlink" Target="#'03-&#29616;&#37329;&#27969;&#22238;&#27491;&#26399;'!A1" TargetMode="External" Id="rId3"/><Relationship Type="http://schemas.openxmlformats.org/officeDocument/2006/relationships/hyperlink" Target="#'04-&#20037;&#26399;&#19982;&#20984;&#24615;'!A1" TargetMode="External" Id="rId4"/><Relationship Type="http://schemas.openxmlformats.org/officeDocument/2006/relationships/hyperlink" Target="#'05-&#29616;&#37329;&#27969;&#39044;&#27979;'!A1" TargetMode="External" Id="rId5"/><Relationship Type="http://schemas.openxmlformats.org/officeDocument/2006/relationships/hyperlink" Target="#'06-&#33945;&#29305;&#21345;&#27931;&#24773;&#26223;'!A1" TargetMode="External" Id="rId6"/><Relationship Type="http://schemas.openxmlformats.org/officeDocument/2006/relationships/hyperlink" Target="#'07-&#21387;&#21147;&#27979;&#35797;'!A1" TargetMode="External" Id="rId7"/><Relationship Type="http://schemas.openxmlformats.org/officeDocument/2006/relationships/hyperlink" Target="#'08-Markowitz&#37197;&#32622;'!A1" TargetMode="External" Id="rId8"/><Relationship Type="http://schemas.openxmlformats.org/officeDocument/2006/relationships/hyperlink" Target="#'10-Brinson&#24402;&#22240;'!A1" TargetMode="External" Id="rId9"/><Relationship Type="http://schemas.openxmlformats.org/officeDocument/2006/relationships/hyperlink" Target="#'11-VaR-CVaR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16" customWidth="1" min="4" max="4"/>
    <col width="12" customWidth="1" min="5" max="5"/>
    <col width="24" customWidth="1" min="6" max="6"/>
    <col width="14" customWidth="1" min="7" max="7"/>
  </cols>
  <sheetData>
    <row r="1" ht="28" customHeight="1">
      <c r="A1" s="1" t="inlineStr">
        <is>
          <t>IALM 保险资产负债管理 · 算法案例模板（V1.0）</t>
        </is>
      </c>
    </row>
    <row r="2"/>
    <row r="3">
      <c r="B3" s="2" t="inlineStr">
        <is>
          <t>模板说明</t>
        </is>
      </c>
    </row>
    <row r="4">
      <c r="B4" s="3" t="inlineStr">
        <is>
          <t xml:space="preserve">本模板对应《IALM_保险资产负债管理产品需求文档》与《IALM_保险资产负债管理算法详细设计》两份文档，
覆盖银保监会《保险资产负债管理监管规则》第5号规则三项核心指标、久期/凸性、现金流预测、压力测试、
投资组合优化、业绩归因、风险度量等核心算法。
颜色约定：
  - 蓝色字 + 黄色底：输入参数（可修改）
  - 黑色字：计算公式
  - 红色字 + 浅红底：关键结果（监管指标）
  - 灰色斜体：说明文字
每个工作表均包含：算法说明（公式 + 业务定义）→ 输入参数 → 计算过程 → 结果输出 → 解读说明
</t>
        </is>
      </c>
    </row>
    <row r="5"/>
    <row r="6"/>
    <row r="7"/>
    <row r="8"/>
    <row r="9"/>
    <row r="10"/>
    <row r="11"/>
    <row r="12" ht="22" customHeight="1">
      <c r="A12" s="4" t="inlineStr">
        <is>
          <t>算法清单与导航</t>
        </is>
      </c>
    </row>
    <row r="13">
      <c r="A13" s="5" t="inlineStr">
        <is>
          <t>序号</t>
        </is>
      </c>
      <c r="B13" s="5" t="inlineStr">
        <is>
          <t>算法名称</t>
        </is>
      </c>
      <c r="C13" s="5" t="inlineStr">
        <is>
          <t>对应编号</t>
        </is>
      </c>
      <c r="D13" s="5" t="inlineStr">
        <is>
          <t>监管对应</t>
        </is>
      </c>
      <c r="E13" s="5" t="inlineStr">
        <is>
          <t>优先级</t>
        </is>
      </c>
      <c r="F13" s="5" t="inlineStr">
        <is>
          <t>工作表名称</t>
        </is>
      </c>
      <c r="G13" s="5" t="inlineStr">
        <is>
          <t>跳转</t>
        </is>
      </c>
    </row>
    <row r="14">
      <c r="A14" s="6" t="inlineStr">
        <is>
          <t>01</t>
        </is>
      </c>
      <c r="B14" s="7" t="inlineStr">
        <is>
          <t>期限结构匹配率</t>
        </is>
      </c>
      <c r="C14" s="7" t="inlineStr">
        <is>
          <t>ALG-001</t>
        </is>
      </c>
      <c r="D14" s="7" t="inlineStr">
        <is>
          <t>5号规则</t>
        </is>
      </c>
      <c r="E14" s="6" t="inlineStr">
        <is>
          <t>P0</t>
        </is>
      </c>
      <c r="F14" s="8" t="inlineStr">
        <is>
          <t>01-期限结构匹配率</t>
        </is>
      </c>
    </row>
    <row r="15">
      <c r="A15" s="6" t="inlineStr">
        <is>
          <t>02</t>
        </is>
      </c>
      <c r="B15" s="7" t="inlineStr">
        <is>
          <t>综合成本收益比</t>
        </is>
      </c>
      <c r="C15" s="7" t="inlineStr">
        <is>
          <t>ALG-002</t>
        </is>
      </c>
      <c r="D15" s="7" t="inlineStr">
        <is>
          <t>5号规则</t>
        </is>
      </c>
      <c r="E15" s="6" t="inlineStr">
        <is>
          <t>P0</t>
        </is>
      </c>
      <c r="F15" s="8" t="inlineStr">
        <is>
          <t>02-综合成本收益比</t>
        </is>
      </c>
    </row>
    <row r="16">
      <c r="A16" s="6" t="inlineStr">
        <is>
          <t>03</t>
        </is>
      </c>
      <c r="B16" s="7" t="inlineStr">
        <is>
          <t>现金流回正期</t>
        </is>
      </c>
      <c r="C16" s="7" t="inlineStr">
        <is>
          <t>ALG-003</t>
        </is>
      </c>
      <c r="D16" s="7" t="inlineStr">
        <is>
          <t>5号规则</t>
        </is>
      </c>
      <c r="E16" s="6" t="inlineStr">
        <is>
          <t>P0</t>
        </is>
      </c>
      <c r="F16" s="8" t="inlineStr">
        <is>
          <t>03-现金流回正期</t>
        </is>
      </c>
    </row>
    <row r="17">
      <c r="A17" s="6" t="inlineStr">
        <is>
          <t>04</t>
        </is>
      </c>
      <c r="B17" s="7" t="inlineStr">
        <is>
          <t>久期与凸性</t>
        </is>
      </c>
      <c r="C17" s="7" t="inlineStr">
        <is>
          <t>ALG-004/005</t>
        </is>
      </c>
      <c r="D17" s="7" t="inlineStr">
        <is>
          <t>-</t>
        </is>
      </c>
      <c r="E17" s="6" t="inlineStr">
        <is>
          <t>P0</t>
        </is>
      </c>
      <c r="F17" s="8" t="inlineStr">
        <is>
          <t>04-久期与凸性</t>
        </is>
      </c>
    </row>
    <row r="18">
      <c r="A18" s="6" t="inlineStr">
        <is>
          <t>05</t>
        </is>
      </c>
      <c r="B18" s="7" t="inlineStr">
        <is>
          <t>现金流预测</t>
        </is>
      </c>
      <c r="C18" s="7" t="inlineStr">
        <is>
          <t>ALG-006</t>
        </is>
      </c>
      <c r="D18" s="7" t="inlineStr">
        <is>
          <t>-</t>
        </is>
      </c>
      <c r="E18" s="6" t="inlineStr">
        <is>
          <t>P0</t>
        </is>
      </c>
      <c r="F18" s="8" t="inlineStr">
        <is>
          <t>05-现金流预测</t>
        </is>
      </c>
    </row>
    <row r="19">
      <c r="A19" s="6" t="inlineStr">
        <is>
          <t>06</t>
        </is>
      </c>
      <c r="B19" s="7" t="inlineStr">
        <is>
          <t>蒙特卡洛情景</t>
        </is>
      </c>
      <c r="C19" s="7" t="inlineStr">
        <is>
          <t>ALG-007</t>
        </is>
      </c>
      <c r="D19" s="7" t="inlineStr">
        <is>
          <t>6号规则</t>
        </is>
      </c>
      <c r="E19" s="6" t="inlineStr">
        <is>
          <t>P0</t>
        </is>
      </c>
      <c r="F19" s="8" t="inlineStr">
        <is>
          <t>06-蒙特卡洛情景</t>
        </is>
      </c>
    </row>
    <row r="20">
      <c r="A20" s="6" t="inlineStr">
        <is>
          <t>07</t>
        </is>
      </c>
      <c r="B20" s="7" t="inlineStr">
        <is>
          <t>压力测试</t>
        </is>
      </c>
      <c r="C20" s="7" t="inlineStr">
        <is>
          <t>ALG-008</t>
        </is>
      </c>
      <c r="D20" s="7" t="inlineStr">
        <is>
          <t>6号规则</t>
        </is>
      </c>
      <c r="E20" s="6" t="inlineStr">
        <is>
          <t>P0</t>
        </is>
      </c>
      <c r="F20" s="8" t="inlineStr">
        <is>
          <t>07-压力测试</t>
        </is>
      </c>
    </row>
    <row r="21">
      <c r="A21" s="6" t="inlineStr">
        <is>
          <t>08</t>
        </is>
      </c>
      <c r="B21" s="7" t="inlineStr">
        <is>
          <t>Markowitz配置</t>
        </is>
      </c>
      <c r="C21" s="7" t="inlineStr">
        <is>
          <t>ALG-010</t>
        </is>
      </c>
      <c r="D21" s="7" t="inlineStr">
        <is>
          <t>-</t>
        </is>
      </c>
      <c r="E21" s="6" t="inlineStr">
        <is>
          <t>P1</t>
        </is>
      </c>
      <c r="F21" s="8" t="inlineStr">
        <is>
          <t>08-Markowitz配置</t>
        </is>
      </c>
    </row>
    <row r="22">
      <c r="A22" s="6" t="inlineStr">
        <is>
          <t>09</t>
        </is>
      </c>
      <c r="B22" s="7" t="inlineStr">
        <is>
          <t>Brinson归因</t>
        </is>
      </c>
      <c r="C22" s="7" t="inlineStr">
        <is>
          <t>ALG-012</t>
        </is>
      </c>
      <c r="D22" s="7" t="inlineStr">
        <is>
          <t>-</t>
        </is>
      </c>
      <c r="E22" s="6" t="inlineStr">
        <is>
          <t>P2</t>
        </is>
      </c>
      <c r="F22" s="8" t="inlineStr">
        <is>
          <t>10-Brinson归因</t>
        </is>
      </c>
    </row>
    <row r="23">
      <c r="A23" s="6" t="inlineStr">
        <is>
          <t>10</t>
        </is>
      </c>
      <c r="B23" s="7" t="inlineStr">
        <is>
          <t>VaR/CVaR</t>
        </is>
      </c>
      <c r="C23" s="7" t="inlineStr">
        <is>
          <t>ALG-013</t>
        </is>
      </c>
      <c r="D23" s="7" t="inlineStr">
        <is>
          <t>-</t>
        </is>
      </c>
      <c r="E23" s="6" t="inlineStr">
        <is>
          <t>P1</t>
        </is>
      </c>
      <c r="F23" s="8" t="inlineStr">
        <is>
          <t>11-VaR-CVaR</t>
        </is>
      </c>
    </row>
    <row r="24"/>
    <row r="25"/>
    <row r="26" ht="22" customHeight="1">
      <c r="A26" s="4" t="inlineStr">
        <is>
          <t>监管阈值速查</t>
        </is>
      </c>
    </row>
    <row r="27">
      <c r="A27" s="5" t="inlineStr">
        <is>
          <t>指标</t>
        </is>
      </c>
      <c r="B27" s="5" t="inlineStr">
        <is>
          <t>公式</t>
        </is>
      </c>
      <c r="C27" s="5" t="inlineStr">
        <is>
          <t>阈值</t>
        </is>
      </c>
      <c r="D27" s="5" t="inlineStr">
        <is>
          <t>说明</t>
        </is>
      </c>
    </row>
    <row r="28">
      <c r="A28" s="9" t="inlineStr">
        <is>
          <t>期限结构匹配率</t>
        </is>
      </c>
      <c r="B28" s="7" t="inlineStr">
        <is>
          <t>1 - Σ|w·(DA-DL)| / Σ(w·DL)</t>
        </is>
      </c>
      <c r="C28" s="6" t="inlineStr">
        <is>
          <t>≥ 80%</t>
        </is>
      </c>
      <c r="D28" s="7" t="inlineStr">
        <is>
          <t>5号规则核心指标1</t>
        </is>
      </c>
    </row>
    <row r="29">
      <c r="A29" s="9" t="inlineStr">
        <is>
          <t>综合成本收益比</t>
        </is>
      </c>
      <c r="B29" s="7" t="inlineStr">
        <is>
          <t>综合收益率 / Σ(预定利率+风险边际+费用率)</t>
        </is>
      </c>
      <c r="C29" s="6" t="inlineStr">
        <is>
          <t>≥ 1.05（寿险）</t>
        </is>
      </c>
      <c r="D29" s="7" t="inlineStr">
        <is>
          <t>5号规则核心指标2</t>
        </is>
      </c>
    </row>
    <row r="30">
      <c r="A30" s="9" t="inlineStr">
        <is>
          <t>现金流回正期</t>
        </is>
      </c>
      <c r="B30" s="7" t="inlineStr">
        <is>
          <t>累计净现金流首次持续非负</t>
        </is>
      </c>
      <c r="C30" s="6" t="inlineStr">
        <is>
          <t>≤ 5年（风险账户）</t>
        </is>
      </c>
      <c r="D30" s="7" t="inlineStr">
        <is>
          <t>5号规则核心指标3</t>
        </is>
      </c>
    </row>
    <row r="31">
      <c r="A31" s="9" t="inlineStr">
        <is>
          <t>偿付能力充足率</t>
        </is>
      </c>
      <c r="B31" s="7" t="inlineStr">
        <is>
          <t>实际资本 / 最低资本</t>
        </is>
      </c>
      <c r="C31" s="6" t="inlineStr">
        <is>
          <t>≥ 100%/50%</t>
        </is>
      </c>
      <c r="D31" s="7" t="inlineStr">
        <is>
          <t>偿二代II</t>
        </is>
      </c>
    </row>
    <row r="32">
      <c r="A32" s="9" t="inlineStr">
        <is>
          <t>权益类资产占比</t>
        </is>
      </c>
      <c r="B32" s="7" t="inlineStr">
        <is>
          <t>权益类 / 总资产</t>
        </is>
      </c>
      <c r="C32" s="6" t="inlineStr">
        <is>
          <t>≤ 30%（传统）</t>
        </is>
      </c>
      <c r="D32" s="7" t="inlineStr">
        <is>
          <t>保险资金运用</t>
        </is>
      </c>
    </row>
  </sheetData>
  <mergeCells count="5">
    <mergeCell ref="B3:G3"/>
    <mergeCell ref="B4:G10"/>
    <mergeCell ref="A1:G1"/>
    <mergeCell ref="A12:G12"/>
    <mergeCell ref="A26:G26"/>
  </mergeCells>
  <hyperlinks>
    <hyperlink xmlns:r="http://schemas.openxmlformats.org/officeDocument/2006/relationships" ref="F14" r:id="rId1"/>
    <hyperlink xmlns:r="http://schemas.openxmlformats.org/officeDocument/2006/relationships" ref="F15" r:id="rId2"/>
    <hyperlink xmlns:r="http://schemas.openxmlformats.org/officeDocument/2006/relationships" ref="F16" r:id="rId3"/>
    <hyperlink xmlns:r="http://schemas.openxmlformats.org/officeDocument/2006/relationships" ref="F17" r:id="rId4"/>
    <hyperlink xmlns:r="http://schemas.openxmlformats.org/officeDocument/2006/relationships" ref="F18" r:id="rId5"/>
    <hyperlink xmlns:r="http://schemas.openxmlformats.org/officeDocument/2006/relationships" ref="F19" r:id="rId6"/>
    <hyperlink xmlns:r="http://schemas.openxmlformats.org/officeDocument/2006/relationships" ref="F20" r:id="rId7"/>
    <hyperlink xmlns:r="http://schemas.openxmlformats.org/officeDocument/2006/relationships" ref="F21" r:id="rId8"/>
    <hyperlink xmlns:r="http://schemas.openxmlformats.org/officeDocument/2006/relationships" ref="F22" r:id="rId9"/>
    <hyperlink xmlns:r="http://schemas.openxmlformats.org/officeDocument/2006/relationships" ref="F23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6" customWidth="1" min="4" max="4"/>
    <col width="16" customWidth="1" min="5" max="5"/>
    <col width="12" customWidth="1" min="6" max="6"/>
    <col width="14" customWidth="1" min="7" max="7"/>
  </cols>
  <sheetData>
    <row r="1" ht="28" customHeight="1">
      <c r="A1" s="1" t="inlineStr">
        <is>
          <t>期限结构匹配率 · ALG-001（5号规则核心指标）</t>
        </is>
      </c>
    </row>
    <row r="2"/>
    <row r="3" ht="22" customHeight="1">
      <c r="A3" s="10" t="inlineStr">
        <is>
          <t>【算法】期限结构匹配率（加权法）</t>
        </is>
      </c>
    </row>
    <row r="4" ht="50" customHeight="1">
      <c r="A4" s="11" t="inlineStr">
        <is>
          <t>【公式】M = 1 - Σᵢ[ wᵢ × |Dᴬᵢ - Dᴸᵢ| ] / Σᵢ[ wᵢ × Dᴸᵢ ]  ,  wᵢ = CFᴸᵢ / ΣCFᴸᵢ</t>
        </is>
      </c>
    </row>
    <row r="5" ht="60" customHeight="1">
      <c r="A5" s="12" t="inlineStr">
        <is>
          <t>【说明】衡量资产端现金流到期期限与负债端现金流到期期限的匹配程度。监管要求 ≥ 80%。加权重：wᵢ 为负债端现金流权重，反映每期现金流对整体的贡献。值越接近 100%，匹配越好；越接近 0%，错配越严重。</t>
        </is>
      </c>
    </row>
    <row r="6"/>
    <row r="7" ht="22" customHeight="1">
      <c r="A7" s="4" t="inlineStr">
        <is>
          <t>一、输入数据（黄色单元格可修改）</t>
        </is>
      </c>
    </row>
    <row r="8">
      <c r="A8" s="5" t="inlineStr">
        <is>
          <t>期限</t>
        </is>
      </c>
      <c r="B8" s="5" t="inlineStr">
        <is>
          <t>资产CF</t>
        </is>
      </c>
      <c r="C8" s="5" t="inlineStr">
        <is>
          <t>负债CF</t>
        </is>
      </c>
      <c r="D8" s="5" t="inlineStr">
        <is>
          <t>资产期限(年)</t>
        </is>
      </c>
      <c r="E8" s="5" t="inlineStr">
        <is>
          <t>负债期限(年)</t>
        </is>
      </c>
      <c r="F8" s="5" t="inlineStr">
        <is>
          <t>权重</t>
        </is>
      </c>
      <c r="G8" s="5" t="inlineStr">
        <is>
          <t>贡献度</t>
        </is>
      </c>
    </row>
    <row r="9">
      <c r="A9" s="13" t="inlineStr">
        <is>
          <t>1年内</t>
        </is>
      </c>
      <c r="B9" s="14" t="n">
        <v>1000</v>
      </c>
      <c r="C9" s="14" t="n">
        <v>800</v>
      </c>
      <c r="D9" s="15" t="n">
        <v>0.5</v>
      </c>
      <c r="E9" s="15" t="n">
        <v>0.5</v>
      </c>
      <c r="F9" s="16">
        <f>C9/SUM($C$9:$C$17)</f>
        <v/>
      </c>
      <c r="G9" s="16">
        <f>F9*(1-ABS(D9-E9)/E9)</f>
        <v/>
      </c>
    </row>
    <row r="10">
      <c r="A10" s="13" t="inlineStr">
        <is>
          <t>1-3年</t>
        </is>
      </c>
      <c r="B10" s="14" t="n">
        <v>2000</v>
      </c>
      <c r="C10" s="14" t="n">
        <v>1500</v>
      </c>
      <c r="D10" s="15" t="n">
        <v>2</v>
      </c>
      <c r="E10" s="15" t="n">
        <v>2</v>
      </c>
      <c r="F10" s="16">
        <f>C10/SUM($C$9:$C$17)</f>
        <v/>
      </c>
      <c r="G10" s="16">
        <f>F10*(1-ABS(D10-E10)/E10)</f>
        <v/>
      </c>
    </row>
    <row r="11">
      <c r="A11" s="13" t="inlineStr">
        <is>
          <t>3-5年</t>
        </is>
      </c>
      <c r="B11" s="14" t="n">
        <v>3500</v>
      </c>
      <c r="C11" s="14" t="n">
        <v>3000</v>
      </c>
      <c r="D11" s="15" t="n">
        <v>4</v>
      </c>
      <c r="E11" s="15" t="n">
        <v>4</v>
      </c>
      <c r="F11" s="16">
        <f>C11/SUM($C$9:$C$17)</f>
        <v/>
      </c>
      <c r="G11" s="16">
        <f>F11*(1-ABS(D11-E11)/E11)</f>
        <v/>
      </c>
    </row>
    <row r="12">
      <c r="A12" s="13" t="inlineStr">
        <is>
          <t>5-10年</t>
        </is>
      </c>
      <c r="B12" s="14" t="n">
        <v>5000</v>
      </c>
      <c r="C12" s="14" t="n">
        <v>4500</v>
      </c>
      <c r="D12" s="15" t="n">
        <v>7</v>
      </c>
      <c r="E12" s="15" t="n">
        <v>7.5</v>
      </c>
      <c r="F12" s="16">
        <f>C12/SUM($C$9:$C$17)</f>
        <v/>
      </c>
      <c r="G12" s="16">
        <f>F12*(1-ABS(D12-E12)/E12)</f>
        <v/>
      </c>
    </row>
    <row r="13">
      <c r="A13" s="13" t="inlineStr">
        <is>
          <t>10-15年</t>
        </is>
      </c>
      <c r="B13" s="14" t="n">
        <v>4000</v>
      </c>
      <c r="C13" s="14" t="n">
        <v>3500</v>
      </c>
      <c r="D13" s="15" t="n">
        <v>12</v>
      </c>
      <c r="E13" s="15" t="n">
        <v>12</v>
      </c>
      <c r="F13" s="16">
        <f>C13/SUM($C$9:$C$17)</f>
        <v/>
      </c>
      <c r="G13" s="16">
        <f>F13*(1-ABS(D13-E13)/E13)</f>
        <v/>
      </c>
    </row>
    <row r="14">
      <c r="A14" s="13" t="inlineStr">
        <is>
          <t>15-20年</t>
        </is>
      </c>
      <c r="B14" s="14" t="n">
        <v>3000</v>
      </c>
      <c r="C14" s="14" t="n">
        <v>2500</v>
      </c>
      <c r="D14" s="15" t="n">
        <v>17</v>
      </c>
      <c r="E14" s="15" t="n">
        <v>18</v>
      </c>
      <c r="F14" s="16">
        <f>C14/SUM($C$9:$C$17)</f>
        <v/>
      </c>
      <c r="G14" s="16">
        <f>F14*(1-ABS(D14-E14)/E14)</f>
        <v/>
      </c>
    </row>
    <row r="15">
      <c r="A15" s="13" t="inlineStr">
        <is>
          <t>20-25年</t>
        </is>
      </c>
      <c r="B15" s="14" t="n">
        <v>2000</v>
      </c>
      <c r="C15" s="14" t="n">
        <v>1800</v>
      </c>
      <c r="D15" s="15" t="n">
        <v>22</v>
      </c>
      <c r="E15" s="15" t="n">
        <v>22</v>
      </c>
      <c r="F15" s="16">
        <f>C15/SUM($C$9:$C$17)</f>
        <v/>
      </c>
      <c r="G15" s="16">
        <f>F15*(1-ABS(D15-E15)/E15)</f>
        <v/>
      </c>
    </row>
    <row r="16">
      <c r="A16" s="13" t="inlineStr">
        <is>
          <t>25-30年</t>
        </is>
      </c>
      <c r="B16" s="14" t="n">
        <v>1500</v>
      </c>
      <c r="C16" s="14" t="n">
        <v>1200</v>
      </c>
      <c r="D16" s="15" t="n">
        <v>27</v>
      </c>
      <c r="E16" s="15" t="n">
        <v>28</v>
      </c>
      <c r="F16" s="16">
        <f>C16/SUM($C$9:$C$17)</f>
        <v/>
      </c>
      <c r="G16" s="16">
        <f>F16*(1-ABS(D16-E16)/E16)</f>
        <v/>
      </c>
    </row>
    <row r="17">
      <c r="A17" s="13" t="inlineStr">
        <is>
          <t>30年以上</t>
        </is>
      </c>
      <c r="B17" s="14" t="n">
        <v>1000</v>
      </c>
      <c r="C17" s="14" t="n">
        <v>700</v>
      </c>
      <c r="D17" s="15" t="n">
        <v>35</v>
      </c>
      <c r="E17" s="15" t="n">
        <v>35</v>
      </c>
      <c r="F17" s="16">
        <f>C17/SUM($C$9:$C$17)</f>
        <v/>
      </c>
      <c r="G17" s="16">
        <f>F17*(1-ABS(D17-E17)/E17)</f>
        <v/>
      </c>
    </row>
    <row r="18">
      <c r="A18" s="17" t="inlineStr">
        <is>
          <t>合计</t>
        </is>
      </c>
      <c r="B18" s="18">
        <f>SUM(B9:B17)</f>
        <v/>
      </c>
      <c r="C18" s="18">
        <f>SUM(C9:C17)</f>
        <v/>
      </c>
      <c r="D18" s="19" t="inlineStr">
        <is>
          <t>-</t>
        </is>
      </c>
      <c r="E18" s="19" t="inlineStr">
        <is>
          <t>-</t>
        </is>
      </c>
      <c r="F18" s="20">
        <f>SUM(F9:F17)</f>
        <v/>
      </c>
      <c r="G18" s="20">
        <f>SUM(G9:G17)</f>
        <v/>
      </c>
    </row>
    <row r="19"/>
    <row r="20" ht="22" customHeight="1">
      <c r="A20" s="4" t="inlineStr">
        <is>
          <t>二、关键结果</t>
        </is>
      </c>
    </row>
    <row r="21"/>
    <row r="22">
      <c r="A22" s="21" t="inlineStr">
        <is>
          <t>期限结构匹配率</t>
        </is>
      </c>
      <c r="B22" s="30" t="n"/>
      <c r="C22" s="20">
        <f>SUM(G9:G17)</f>
        <v/>
      </c>
      <c r="D22" s="37" t="n"/>
      <c r="E22" s="30" t="n"/>
      <c r="F22" s="19" t="inlineStr">
        <is>
          <t>≥ 80%</t>
        </is>
      </c>
      <c r="G22" s="30" t="n"/>
    </row>
    <row r="23">
      <c r="A23" s="21" t="inlineStr">
        <is>
          <t>合规判定</t>
        </is>
      </c>
      <c r="B23" s="30" t="n"/>
      <c r="C23" s="22">
        <f>IF(B22&gt;=0.8,"✓ 合规","✗ 不合规")</f>
        <v/>
      </c>
      <c r="D23" s="37" t="n"/>
      <c r="E23" s="30" t="n"/>
      <c r="F23" s="19" t="inlineStr">
        <is>
          <t>绿/红</t>
        </is>
      </c>
      <c r="G23" s="30" t="n"/>
    </row>
    <row r="24">
      <c r="A24" s="21" t="inlineStr">
        <is>
          <t>总资产现金流</t>
        </is>
      </c>
      <c r="B24" s="30" t="n"/>
      <c r="C24" s="18">
        <f>SUM(B9:B17)</f>
        <v/>
      </c>
      <c r="D24" s="37" t="n"/>
      <c r="E24" s="30" t="n"/>
      <c r="F24" s="19" t="inlineStr">
        <is>
          <t>-</t>
        </is>
      </c>
      <c r="G24" s="30" t="n"/>
    </row>
    <row r="25">
      <c r="A25" s="21" t="inlineStr">
        <is>
          <t>总负债现金流</t>
        </is>
      </c>
      <c r="B25" s="30" t="n"/>
      <c r="C25" s="18">
        <f>SUM(C9:C17)</f>
        <v/>
      </c>
      <c r="D25" s="37" t="n"/>
      <c r="E25" s="30" t="n"/>
      <c r="F25" s="19" t="inlineStr">
        <is>
          <t>-</t>
        </is>
      </c>
      <c r="G25" s="30" t="n"/>
    </row>
    <row r="26">
      <c r="A26" s="21" t="inlineStr">
        <is>
          <t>资产加权期限</t>
        </is>
      </c>
      <c r="B26" s="30" t="n"/>
      <c r="C26" s="23">
        <f>SUMPRODUCT(D9:D17,B9:B17)/SUM(B9:B17)</f>
        <v/>
      </c>
      <c r="D26" s="37" t="n"/>
      <c r="E26" s="30" t="n"/>
      <c r="F26" s="19" t="inlineStr">
        <is>
          <t>-</t>
        </is>
      </c>
      <c r="G26" s="30" t="n"/>
    </row>
    <row r="27">
      <c r="A27" s="21" t="inlineStr">
        <is>
          <t>负债加权期限</t>
        </is>
      </c>
      <c r="B27" s="30" t="n"/>
      <c r="C27" s="23">
        <f>SUMPRODUCT(E9:E17,C9:C17)/SUM(C9:C17)</f>
        <v/>
      </c>
      <c r="D27" s="37" t="n"/>
      <c r="E27" s="30" t="n"/>
      <c r="F27" s="19" t="inlineStr">
        <is>
          <t>-</t>
        </is>
      </c>
      <c r="G27" s="30" t="n"/>
    </row>
    <row r="28"/>
    <row r="29"/>
    <row r="30">
      <c r="A30" s="24" t="inlineStr">
        <is>
          <t>【解读说明】
1. 期限结构匹配率反映资产端与负债端现金流到期期限的匹配程度
2. 加权法以负债端现金流为权重，反映每期现金流对整体的贡献
3. 监管阈值 ≥ 80%，每季度量化评估
4. 匹配率低于阈值时，需调整资产端的期限结构
5. 实务中常配合久期缺口（DGAP = DA - DL）一起使用
6. 本案例为简化模型，实际可按产品线、账户、币种多维度切片</t>
        </is>
      </c>
    </row>
    <row r="31"/>
    <row r="32"/>
    <row r="33"/>
    <row r="34"/>
  </sheetData>
  <mergeCells count="25">
    <mergeCell ref="A24:B24"/>
    <mergeCell ref="F25:G25"/>
    <mergeCell ref="C22:E22"/>
    <mergeCell ref="A4:G4"/>
    <mergeCell ref="A20:G20"/>
    <mergeCell ref="F24:G24"/>
    <mergeCell ref="C27:E27"/>
    <mergeCell ref="A25:B25"/>
    <mergeCell ref="C23:E23"/>
    <mergeCell ref="A27:B27"/>
    <mergeCell ref="F26:G26"/>
    <mergeCell ref="A26:B26"/>
    <mergeCell ref="A1:G1"/>
    <mergeCell ref="F23:G23"/>
    <mergeCell ref="A30:G34"/>
    <mergeCell ref="F22:G22"/>
    <mergeCell ref="A7:G7"/>
    <mergeCell ref="A23:B23"/>
    <mergeCell ref="F27:G27"/>
    <mergeCell ref="A22:B22"/>
    <mergeCell ref="C24:E24"/>
    <mergeCell ref="A3:G3"/>
    <mergeCell ref="C26:E26"/>
    <mergeCell ref="C25:E25"/>
    <mergeCell ref="A5:G5"/>
  </mergeCells>
  <conditionalFormatting sqref="C23:E23">
    <cfRule type="cellIs" priority="1" operator="equal" dxfId="0">
      <formula>"✓ 合规"</formula>
    </cfRule>
    <cfRule type="cellIs" priority="2" operator="equal" dxfId="1">
      <formula>"✗ 不合规"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综合成本收益比 · ALG-002（5号规则核心指标）</t>
        </is>
      </c>
    </row>
    <row r="2"/>
    <row r="3" ht="22" customHeight="1">
      <c r="A3" s="10" t="inlineStr">
        <is>
          <t>【算法】综合成本收益比</t>
        </is>
      </c>
    </row>
    <row r="4" ht="50" customHeight="1">
      <c r="A4" s="11" t="inlineStr">
        <is>
          <t>【公式】R_CR = (Σⱼ Aⱼ·rⱼ) / (Σⱼ Lⱼ·(iⱼ + mⱼ + eⱼ))  ,  Spread = R_CR - 1</t>
        </is>
      </c>
    </row>
    <row r="5" ht="60" customHeight="1">
      <c r="A5" s="12" t="inlineStr">
        <is>
          <t>【说明】衡量投资收益对负债端综合成本的覆盖能力，反映公司盈利能力。分子为规模加权综合投资收益率，分母为规模加权综合负债成本率（预定利率+风险边际+费用率）。R_CR ≥ 1.05 视为健康（寿险），≥ 1.10 视为健康（财险），需按公司类型差异化设定。</t>
        </is>
      </c>
    </row>
    <row r="6"/>
    <row r="7" ht="22" customHeight="1">
      <c r="A7" s="4" t="inlineStr">
        <is>
          <t>一、资产端输入</t>
        </is>
      </c>
    </row>
    <row r="8">
      <c r="A8" s="5" t="inlineStr">
        <is>
          <t>资产类别</t>
        </is>
      </c>
      <c r="B8" s="5" t="inlineStr">
        <is>
          <t>规模(亿)</t>
        </is>
      </c>
      <c r="C8" s="5" t="inlineStr">
        <is>
          <t>投资收益率</t>
        </is>
      </c>
      <c r="D8" s="5" t="inlineStr">
        <is>
          <t>贡献收益率</t>
        </is>
      </c>
      <c r="E8" s="5" t="inlineStr">
        <is>
          <t>占比</t>
        </is>
      </c>
      <c r="F8" s="5" t="inlineStr">
        <is>
          <t>备注</t>
        </is>
      </c>
      <c r="G8" s="5" t="inlineStr"/>
    </row>
    <row r="9">
      <c r="A9" s="25" t="inlineStr">
        <is>
          <t>现金及等价物</t>
        </is>
      </c>
      <c r="B9" s="14" t="n">
        <v>50</v>
      </c>
      <c r="C9" s="26" t="n">
        <v>0.02</v>
      </c>
      <c r="D9" s="27">
        <f>B9*C9</f>
        <v/>
      </c>
      <c r="E9" s="28">
        <f>B9/SUM($B$9:$B$16)</f>
        <v/>
      </c>
      <c r="F9" s="29" t="inlineStr">
        <is>
          <t>流动性储备</t>
        </is>
      </c>
      <c r="G9" s="30" t="n"/>
    </row>
    <row r="10">
      <c r="A10" s="25" t="inlineStr">
        <is>
          <t>银行存款</t>
        </is>
      </c>
      <c r="B10" s="14" t="n">
        <v>100</v>
      </c>
      <c r="C10" s="26" t="n">
        <v>0.025</v>
      </c>
      <c r="D10" s="27">
        <f>B10*C10</f>
        <v/>
      </c>
      <c r="E10" s="28">
        <f>B10/SUM($B$9:$B$16)</f>
        <v/>
      </c>
      <c r="F10" s="29" t="inlineStr">
        <is>
          <t>结算与流动性</t>
        </is>
      </c>
      <c r="G10" s="30" t="n"/>
    </row>
    <row r="11">
      <c r="A11" s="25" t="inlineStr">
        <is>
          <t>国债</t>
        </is>
      </c>
      <c r="B11" s="14" t="n">
        <v>300</v>
      </c>
      <c r="C11" s="26" t="n">
        <v>0.035</v>
      </c>
      <c r="D11" s="27">
        <f>B11*C11</f>
        <v/>
      </c>
      <c r="E11" s="28">
        <f>B11/SUM($B$9:$B$16)</f>
        <v/>
      </c>
      <c r="F11" s="29" t="inlineStr">
        <is>
          <t>长久期匹配</t>
        </is>
      </c>
      <c r="G11" s="30" t="n"/>
    </row>
    <row r="12">
      <c r="A12" s="25" t="inlineStr">
        <is>
          <t>政策性金融债</t>
        </is>
      </c>
      <c r="B12" s="14" t="n">
        <v>200</v>
      </c>
      <c r="C12" s="26" t="n">
        <v>0.038</v>
      </c>
      <c r="D12" s="27">
        <f>B12*C12</f>
        <v/>
      </c>
      <c r="E12" s="28">
        <f>B12/SUM($B$9:$B$16)</f>
        <v/>
      </c>
      <c r="F12" s="29" t="inlineStr">
        <is>
          <t>优质信用</t>
        </is>
      </c>
      <c r="G12" s="30" t="n"/>
    </row>
    <row r="13">
      <c r="A13" s="25" t="inlineStr">
        <is>
          <t>企业债（AAA）</t>
        </is>
      </c>
      <c r="B13" s="14" t="n">
        <v>250</v>
      </c>
      <c r="C13" s="26" t="n">
        <v>0.045</v>
      </c>
      <c r="D13" s="27">
        <f>B13*C13</f>
        <v/>
      </c>
      <c r="E13" s="28">
        <f>B13/SUM($B$9:$B$16)</f>
        <v/>
      </c>
      <c r="F13" s="29" t="inlineStr">
        <is>
          <t>稳定收益</t>
        </is>
      </c>
      <c r="G13" s="30" t="n"/>
    </row>
    <row r="14">
      <c r="A14" s="25" t="inlineStr">
        <is>
          <t>股票</t>
        </is>
      </c>
      <c r="B14" s="14" t="n">
        <v>80</v>
      </c>
      <c r="C14" s="26" t="n">
        <v>0.06</v>
      </c>
      <c r="D14" s="27">
        <f>B14*C14</f>
        <v/>
      </c>
      <c r="E14" s="28">
        <f>B14/SUM($B$9:$B$16)</f>
        <v/>
      </c>
      <c r="F14" s="29" t="inlineStr">
        <is>
          <t>权益增值</t>
        </is>
      </c>
      <c r="G14" s="30" t="n"/>
    </row>
    <row r="15">
      <c r="A15" s="25" t="inlineStr">
        <is>
          <t>基金</t>
        </is>
      </c>
      <c r="B15" s="14" t="n">
        <v>50</v>
      </c>
      <c r="C15" s="26" t="n">
        <v>0.05</v>
      </c>
      <c r="D15" s="27">
        <f>B15*C15</f>
        <v/>
      </c>
      <c r="E15" s="28">
        <f>B15/SUM($B$9:$B$16)</f>
        <v/>
      </c>
      <c r="F15" s="29" t="inlineStr">
        <is>
          <t>分散投资</t>
        </is>
      </c>
      <c r="G15" s="30" t="n"/>
    </row>
    <row r="16">
      <c r="A16" s="25" t="inlineStr">
        <is>
          <t>另类投资</t>
        </is>
      </c>
      <c r="B16" s="14" t="n">
        <v>70</v>
      </c>
      <c r="C16" s="26" t="n">
        <v>0.07000000000000001</v>
      </c>
      <c r="D16" s="27">
        <f>B16*C16</f>
        <v/>
      </c>
      <c r="E16" s="28">
        <f>B16/SUM($B$9:$B$16)</f>
        <v/>
      </c>
      <c r="F16" s="29" t="inlineStr">
        <is>
          <t>高收益</t>
        </is>
      </c>
      <c r="G16" s="30" t="n"/>
    </row>
    <row r="17">
      <c r="A17" s="31" t="inlineStr">
        <is>
          <t>合计</t>
        </is>
      </c>
      <c r="B17" s="32">
        <f>SUM(B9:B16)</f>
        <v/>
      </c>
      <c r="C17" s="33">
        <f>D17/B17</f>
        <v/>
      </c>
      <c r="D17" s="34">
        <f>SUM(D9:D16)</f>
        <v/>
      </c>
      <c r="E17" s="33">
        <f>SUM(E9:E16)</f>
        <v/>
      </c>
    </row>
    <row r="18"/>
    <row r="19" ht="22" customHeight="1">
      <c r="A19" s="4" t="inlineStr">
        <is>
          <t>二、负债端输入</t>
        </is>
      </c>
    </row>
    <row r="20">
      <c r="A20" s="5" t="inlineStr">
        <is>
          <t>险种</t>
        </is>
      </c>
      <c r="B20" s="5" t="inlineStr">
        <is>
          <t>规模(亿)</t>
        </is>
      </c>
      <c r="C20" s="5" t="inlineStr">
        <is>
          <t>预定利率</t>
        </is>
      </c>
      <c r="D20" s="5" t="inlineStr">
        <is>
          <t>风险边际</t>
        </is>
      </c>
      <c r="E20" s="5" t="inlineStr">
        <is>
          <t>费用率</t>
        </is>
      </c>
      <c r="F20" s="5" t="inlineStr">
        <is>
          <t>综合成本</t>
        </is>
      </c>
      <c r="G20" s="5" t="inlineStr">
        <is>
          <t>备注</t>
        </is>
      </c>
    </row>
    <row r="21">
      <c r="A21" s="25" t="inlineStr">
        <is>
          <t>普通寿险</t>
        </is>
      </c>
      <c r="B21" s="14" t="n">
        <v>500</v>
      </c>
      <c r="C21" s="26" t="n">
        <v>0.025</v>
      </c>
      <c r="D21" s="26" t="n">
        <v>0.005</v>
      </c>
      <c r="E21" s="26" t="n">
        <v>0.012</v>
      </c>
      <c r="F21" s="28">
        <f>C21+D21+E21</f>
        <v/>
      </c>
      <c r="G21" s="29" t="inlineStr">
        <is>
          <t>传统保障</t>
        </is>
      </c>
    </row>
    <row r="22">
      <c r="A22" s="25" t="inlineStr">
        <is>
          <t>分红寿险</t>
        </is>
      </c>
      <c r="B22" s="14" t="n">
        <v>350</v>
      </c>
      <c r="C22" s="26" t="n">
        <v>0.03</v>
      </c>
      <c r="D22" s="26" t="n">
        <v>0.005</v>
      </c>
      <c r="E22" s="26" t="n">
        <v>0.015</v>
      </c>
      <c r="F22" s="28">
        <f>C22+D22+E22</f>
        <v/>
      </c>
      <c r="G22" s="29" t="inlineStr">
        <is>
          <t>收益共享</t>
        </is>
      </c>
    </row>
    <row r="23">
      <c r="A23" s="25" t="inlineStr">
        <is>
          <t>万能寿险</t>
        </is>
      </c>
      <c r="B23" s="14" t="n">
        <v>200</v>
      </c>
      <c r="C23" s="26" t="n">
        <v>0.025</v>
      </c>
      <c r="D23" s="26" t="n">
        <v>0.003</v>
      </c>
      <c r="E23" s="26" t="n">
        <v>0.01</v>
      </c>
      <c r="F23" s="28">
        <f>C23+D23+E23</f>
        <v/>
      </c>
      <c r="G23" s="29" t="inlineStr">
        <is>
          <t>灵活结算</t>
        </is>
      </c>
    </row>
    <row r="24">
      <c r="A24" s="25" t="inlineStr">
        <is>
          <t>投连险</t>
        </is>
      </c>
      <c r="B24" s="14" t="n">
        <v>100</v>
      </c>
      <c r="C24" s="26" t="n">
        <v>0</v>
      </c>
      <c r="D24" s="26" t="n">
        <v>0.002</v>
      </c>
      <c r="E24" s="26" t="n">
        <v>0.02</v>
      </c>
      <c r="F24" s="28">
        <f>C24+D24+E24</f>
        <v/>
      </c>
      <c r="G24" s="29" t="inlineStr">
        <is>
          <t>投资型</t>
        </is>
      </c>
    </row>
    <row r="25">
      <c r="A25" s="25" t="inlineStr">
        <is>
          <t>健康险</t>
        </is>
      </c>
      <c r="B25" s="14" t="n">
        <v>150</v>
      </c>
      <c r="C25" s="26" t="n">
        <v>0.02</v>
      </c>
      <c r="D25" s="26" t="n">
        <v>0.008</v>
      </c>
      <c r="E25" s="26" t="n">
        <v>0.025</v>
      </c>
      <c r="F25" s="28">
        <f>C25+D25+E25</f>
        <v/>
      </c>
      <c r="G25" s="29" t="inlineStr">
        <is>
          <t>短期为主</t>
        </is>
      </c>
    </row>
    <row r="26">
      <c r="A26" s="25" t="inlineStr">
        <is>
          <t>意外险</t>
        </is>
      </c>
      <c r="B26" s="14" t="n">
        <v>50</v>
      </c>
      <c r="C26" s="26" t="n">
        <v>0.015</v>
      </c>
      <c r="D26" s="26" t="n">
        <v>0.005</v>
      </c>
      <c r="E26" s="26" t="n">
        <v>0.03</v>
      </c>
      <c r="F26" s="28">
        <f>C26+D26+E26</f>
        <v/>
      </c>
      <c r="G26" s="29" t="inlineStr">
        <is>
          <t>短期</t>
        </is>
      </c>
    </row>
    <row r="27">
      <c r="A27" s="25" t="inlineStr">
        <is>
          <t>年金险</t>
        </is>
      </c>
      <c r="B27" s="14" t="n">
        <v>250</v>
      </c>
      <c r="C27" s="26" t="n">
        <v>0.03</v>
      </c>
      <c r="D27" s="26" t="n">
        <v>0.005</v>
      </c>
      <c r="E27" s="26" t="n">
        <v>0.012</v>
      </c>
      <c r="F27" s="28">
        <f>C27+D27+E27</f>
        <v/>
      </c>
      <c r="G27" s="29" t="inlineStr">
        <is>
          <t>长期</t>
        </is>
      </c>
    </row>
    <row r="28">
      <c r="A28" s="31" t="inlineStr">
        <is>
          <t>合计</t>
        </is>
      </c>
      <c r="B28" s="32">
        <f>SUM(B21:B27)</f>
        <v/>
      </c>
      <c r="C28" s="33">
        <f>SUMPRODUCT(C21:C27,$B$21:$B$27)/SUM($B$21:$B$27)</f>
        <v/>
      </c>
      <c r="D28" s="33">
        <f>SUMPRODUCT(D21:D27,$B$21:$B$27)/SUM($B$21:$B$27)</f>
        <v/>
      </c>
      <c r="E28" s="33">
        <f>SUMPRODUCT(E21:E27,$B$21:$B$27)/SUM($B$21:$B$27)</f>
        <v/>
      </c>
      <c r="F28" s="33">
        <f>SUMPRODUCT(F21:F27,$B$21:$B$27)/SUM($B$21:$B$27)</f>
        <v/>
      </c>
      <c r="G28" s="35" t="n"/>
    </row>
    <row r="29"/>
    <row r="30" ht="22" customHeight="1">
      <c r="A30" s="4" t="inlineStr">
        <is>
          <t>三、关键结果</t>
        </is>
      </c>
    </row>
    <row r="31"/>
    <row r="32">
      <c r="A32" s="21" t="inlineStr">
        <is>
          <t>资产端综合收益率</t>
        </is>
      </c>
      <c r="B32" s="30" t="n"/>
      <c r="C32" s="20">
        <f>C17</f>
        <v/>
      </c>
      <c r="D32" s="37" t="n"/>
      <c r="E32" s="37" t="n"/>
      <c r="F32" s="37" t="n"/>
      <c r="G32" s="30" t="n"/>
    </row>
    <row r="33">
      <c r="A33" s="21" t="inlineStr">
        <is>
          <t>负债端综合成本率</t>
        </is>
      </c>
      <c r="B33" s="30" t="n"/>
      <c r="C33" s="20">
        <f>F28</f>
        <v/>
      </c>
      <c r="D33" s="37" t="n"/>
      <c r="E33" s="37" t="n"/>
      <c r="F33" s="37" t="n"/>
      <c r="G33" s="30" t="n"/>
    </row>
    <row r="34">
      <c r="A34" s="21" t="inlineStr">
        <is>
          <t>综合成本收益比</t>
        </is>
      </c>
      <c r="B34" s="30" t="n"/>
      <c r="C34" s="36">
        <f>C17/F28</f>
        <v/>
      </c>
      <c r="D34" s="37" t="n"/>
      <c r="E34" s="37" t="n"/>
      <c r="F34" s="37" t="n"/>
      <c r="G34" s="30" t="n"/>
    </row>
    <row r="35">
      <c r="A35" s="21" t="inlineStr">
        <is>
          <t>利差益/损(%)</t>
        </is>
      </c>
      <c r="B35" s="30" t="n"/>
      <c r="C35" s="23">
        <f>(C17-F28)*100</f>
        <v/>
      </c>
      <c r="D35" s="37" t="n"/>
      <c r="E35" s="37" t="n"/>
      <c r="F35" s="37" t="n"/>
      <c r="G35" s="30" t="n"/>
    </row>
    <row r="36">
      <c r="A36" s="21" t="inlineStr">
        <is>
          <t>健康判定</t>
        </is>
      </c>
      <c r="B36" s="30" t="n"/>
      <c r="C36" s="22">
        <f>IF(C32&gt;=1.05,"✓ 健康",IF(C32&gt;=0.95,"⚠ 警戒","✗ 危险"))</f>
        <v/>
      </c>
      <c r="D36" s="37" t="n"/>
      <c r="E36" s="37" t="n"/>
      <c r="F36" s="37" t="n"/>
      <c r="G36" s="30" t="n"/>
    </row>
    <row r="37"/>
    <row r="38"/>
    <row r="39"/>
    <row r="40">
      <c r="A40" s="24" t="inlineStr">
        <is>
          <t>【解读说明】
1. 综合成本收益比 = 综合投资收益率 / 综合负债成本率
2. 大于1表示投资收益能覆盖负债成本，产生利差益
3. 小于1表示出现利差损，公司面临亏损风险
4. 健康阈值按公司类型差异化：寿险 ≥ 1.05、财险 ≥ 1.10
5. 利差益/损可进一步分解到险种、产品线维度
6. 实际操作中需结合投资策略调整、负债结构优化等措施</t>
        </is>
      </c>
    </row>
    <row r="41"/>
    <row r="42"/>
    <row r="43"/>
    <row r="44"/>
  </sheetData>
  <mergeCells count="27">
    <mergeCell ref="F11:G11"/>
    <mergeCell ref="C34:G34"/>
    <mergeCell ref="F10:G10"/>
    <mergeCell ref="F16:G16"/>
    <mergeCell ref="C33:G33"/>
    <mergeCell ref="A4:G4"/>
    <mergeCell ref="A36:B36"/>
    <mergeCell ref="A19:G19"/>
    <mergeCell ref="C35:G35"/>
    <mergeCell ref="F12:G12"/>
    <mergeCell ref="F15:G15"/>
    <mergeCell ref="A30:G30"/>
    <mergeCell ref="F17:G17"/>
    <mergeCell ref="A34:B34"/>
    <mergeCell ref="A40:G44"/>
    <mergeCell ref="A1:G1"/>
    <mergeCell ref="A33:B33"/>
    <mergeCell ref="A32:B32"/>
    <mergeCell ref="C36:G36"/>
    <mergeCell ref="A7:G7"/>
    <mergeCell ref="F13:G13"/>
    <mergeCell ref="F9:G9"/>
    <mergeCell ref="A35:B35"/>
    <mergeCell ref="C32:G32"/>
    <mergeCell ref="A3:G3"/>
    <mergeCell ref="F14:G14"/>
    <mergeCell ref="A5:G5"/>
  </mergeCells>
  <conditionalFormatting sqref="C36:G36">
    <cfRule type="cellIs" priority="1" operator="equal" dxfId="0">
      <formula>"✓ 健康"</formula>
    </cfRule>
    <cfRule type="cellIs" priority="2" operator="equal" dxfId="1">
      <formula>"✗ 危险"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现金流回正期 · ALG-003（5号规则核心指标）</t>
        </is>
      </c>
    </row>
    <row r="2"/>
    <row r="3" ht="22" customHeight="1">
      <c r="A3" s="10" t="inlineStr">
        <is>
          <t>【算法】现金流回正期</t>
        </is>
      </c>
    </row>
    <row r="4" ht="50" customHeight="1">
      <c r="A4" s="11" t="inlineStr">
        <is>
          <t>【公式】NC_t = Σₛ₌₀..t (Aₛ - Lₛ)  ,  T* = min{t : NC_t ≥ 0, ∀s ≤ t}</t>
        </is>
      </c>
    </row>
    <row r="5" ht="60" customHeight="1">
      <c r="A5" s="12" t="inlineStr">
        <is>
          <t>【说明】资产端累计现金流首次覆盖负债端累计现金流的时点。关键判定：必须满足'持续非负'条件，避免'假回正'。监管要求风险账户 ≤ 5 年；长期账户参考 ≤ 8-10 年。</t>
        </is>
      </c>
    </row>
    <row r="6"/>
    <row r="7" ht="22" customHeight="1">
      <c r="A7" s="4" t="inlineStr">
        <is>
          <t>一、基础参数</t>
        </is>
      </c>
    </row>
    <row r="8">
      <c r="A8" s="17" t="inlineStr">
        <is>
          <t>预测频率</t>
        </is>
      </c>
      <c r="B8" s="30" t="n"/>
      <c r="C8" s="13" t="inlineStr">
        <is>
          <t>月度</t>
        </is>
      </c>
      <c r="D8" s="30" t="n"/>
      <c r="E8" s="29" t="inlineStr">
        <is>
          <t>可改为 yearly/quarterly</t>
        </is>
      </c>
      <c r="F8" s="37" t="n"/>
      <c r="G8" s="30" t="n"/>
    </row>
    <row r="9">
      <c r="A9" s="17" t="inlineStr">
        <is>
          <t>观测年限</t>
        </is>
      </c>
      <c r="B9" s="30" t="n"/>
      <c r="C9" s="38" t="n">
        <v>20</v>
      </c>
      <c r="D9" s="30" t="n"/>
      <c r="E9" s="29" t="inlineStr">
        <is>
          <t>年</t>
        </is>
      </c>
      <c r="F9" s="37" t="n"/>
      <c r="G9" s="30" t="n"/>
    </row>
    <row r="10">
      <c r="A10" s="17" t="inlineStr">
        <is>
          <t>时间步长系数</t>
        </is>
      </c>
      <c r="B10" s="30" t="n"/>
      <c r="C10" s="38">
        <f>IF(B8="月度",12,IF(B8="季度",4,1))</f>
        <v/>
      </c>
      <c r="D10" s="30" t="n"/>
      <c r="E10" s="29" t="inlineStr">
        <is>
          <t>12=月,4=季,1=年</t>
        </is>
      </c>
      <c r="F10" s="37" t="n"/>
      <c r="G10" s="30" t="n"/>
    </row>
    <row r="11"/>
    <row r="12" ht="22" customHeight="1">
      <c r="A12" s="4" t="inlineStr">
        <is>
          <t>二、资产端与负债端现金流（20年）</t>
        </is>
      </c>
    </row>
    <row r="13">
      <c r="A13" s="5" t="inlineStr">
        <is>
          <t>年度</t>
        </is>
      </c>
      <c r="B13" s="5" t="inlineStr">
        <is>
          <t>资产CF</t>
        </is>
      </c>
      <c r="C13" s="5" t="inlineStr">
        <is>
          <t>负债CF</t>
        </is>
      </c>
      <c r="D13" s="5" t="inlineStr">
        <is>
          <t>净现金流</t>
        </is>
      </c>
      <c r="E13" s="5" t="inlineStr">
        <is>
          <t>累计净CF</t>
        </is>
      </c>
      <c r="F13" s="5" t="inlineStr">
        <is>
          <t>状态</t>
        </is>
      </c>
      <c r="G13" s="5" t="inlineStr">
        <is>
          <t>备注</t>
        </is>
      </c>
    </row>
    <row r="14">
      <c r="A14" s="6" t="n">
        <v>1</v>
      </c>
      <c r="B14" s="14" t="n">
        <v>500</v>
      </c>
      <c r="C14" s="14" t="n">
        <v>800</v>
      </c>
      <c r="D14" s="39">
        <f>B14-C14</f>
        <v/>
      </c>
      <c r="E14" s="39">
        <f>D14</f>
        <v/>
      </c>
      <c r="F14" s="40">
        <f>IF(E14&gt;=0,"回正","负")</f>
        <v/>
      </c>
      <c r="G14" s="35" t="n"/>
    </row>
    <row r="15">
      <c r="A15" s="6" t="n">
        <v>2</v>
      </c>
      <c r="B15" s="14" t="n">
        <v>700</v>
      </c>
      <c r="C15" s="14" t="n">
        <v>900</v>
      </c>
      <c r="D15" s="39">
        <f>B15-C15</f>
        <v/>
      </c>
      <c r="E15" s="39">
        <f>E14+D15</f>
        <v/>
      </c>
      <c r="F15" s="40">
        <f>IF(AND(E15&gt;=0,COUNTIF($E$14:E15,"&lt;0")=0),"持续回正",IF(E15&gt;=0,"回正(曾负)","负"))</f>
        <v/>
      </c>
      <c r="G15" s="35" t="n"/>
    </row>
    <row r="16">
      <c r="A16" s="6" t="n">
        <v>3</v>
      </c>
      <c r="B16" s="14" t="n">
        <v>1000</v>
      </c>
      <c r="C16" s="14" t="n">
        <v>950</v>
      </c>
      <c r="D16" s="39">
        <f>B16-C16</f>
        <v/>
      </c>
      <c r="E16" s="39">
        <f>E15+D16</f>
        <v/>
      </c>
      <c r="F16" s="40">
        <f>IF(AND(E16&gt;=0,COUNTIF($E$14:E16,"&lt;0")=0),"持续回正",IF(E16&gt;=0,"回正(曾负)","负"))</f>
        <v/>
      </c>
      <c r="G16" s="35" t="n"/>
    </row>
    <row r="17">
      <c r="A17" s="6" t="n">
        <v>4</v>
      </c>
      <c r="B17" s="14" t="n">
        <v>1500</v>
      </c>
      <c r="C17" s="14" t="n">
        <v>1000</v>
      </c>
      <c r="D17" s="39">
        <f>B17-C17</f>
        <v/>
      </c>
      <c r="E17" s="39">
        <f>E16+D17</f>
        <v/>
      </c>
      <c r="F17" s="40">
        <f>IF(AND(E17&gt;=0,COUNTIF($E$14:E17,"&lt;0")=0),"持续回正",IF(E17&gt;=0,"回正(曾负)","负"))</f>
        <v/>
      </c>
      <c r="G17" s="35" t="n"/>
    </row>
    <row r="18">
      <c r="A18" s="6" t="n">
        <v>5</v>
      </c>
      <c r="B18" s="14" t="n">
        <v>2000</v>
      </c>
      <c r="C18" s="14" t="n">
        <v>1050</v>
      </c>
      <c r="D18" s="39">
        <f>B18-C18</f>
        <v/>
      </c>
      <c r="E18" s="39">
        <f>E17+D18</f>
        <v/>
      </c>
      <c r="F18" s="40">
        <f>IF(AND(E18&gt;=0,COUNTIF($E$14:E18,"&lt;0")=0),"持续回正",IF(E18&gt;=0,"回正(曾负)","负"))</f>
        <v/>
      </c>
      <c r="G18" s="35" t="n"/>
    </row>
    <row r="19">
      <c r="A19" s="6" t="n">
        <v>6</v>
      </c>
      <c r="B19" s="14" t="n">
        <v>2500</v>
      </c>
      <c r="C19" s="14" t="n">
        <v>1100</v>
      </c>
      <c r="D19" s="39">
        <f>B19-C19</f>
        <v/>
      </c>
      <c r="E19" s="39">
        <f>E18+D19</f>
        <v/>
      </c>
      <c r="F19" s="40">
        <f>IF(AND(E19&gt;=0,COUNTIF($E$14:E19,"&lt;0")=0),"持续回正",IF(E19&gt;=0,"回正(曾负)","负"))</f>
        <v/>
      </c>
      <c r="G19" s="35" t="n"/>
    </row>
    <row r="20">
      <c r="A20" s="6" t="n">
        <v>7</v>
      </c>
      <c r="B20" s="14" t="n">
        <v>2800</v>
      </c>
      <c r="C20" s="14" t="n">
        <v>1150</v>
      </c>
      <c r="D20" s="39">
        <f>B20-C20</f>
        <v/>
      </c>
      <c r="E20" s="39">
        <f>E19+D20</f>
        <v/>
      </c>
      <c r="F20" s="40">
        <f>IF(AND(E20&gt;=0,COUNTIF($E$14:E20,"&lt;0")=0),"持续回正",IF(E20&gt;=0,"回正(曾负)","负"))</f>
        <v/>
      </c>
      <c r="G20" s="35" t="n"/>
    </row>
    <row r="21">
      <c r="A21" s="6" t="n">
        <v>8</v>
      </c>
      <c r="B21" s="14" t="n">
        <v>3000</v>
      </c>
      <c r="C21" s="14" t="n">
        <v>1200</v>
      </c>
      <c r="D21" s="39">
        <f>B21-C21</f>
        <v/>
      </c>
      <c r="E21" s="39">
        <f>E20+D21</f>
        <v/>
      </c>
      <c r="F21" s="40">
        <f>IF(AND(E21&gt;=0,COUNTIF($E$14:E21,"&lt;0")=0),"持续回正",IF(E21&gt;=0,"回正(曾负)","负"))</f>
        <v/>
      </c>
      <c r="G21" s="35" t="n"/>
    </row>
    <row r="22">
      <c r="A22" s="6" t="n">
        <v>9</v>
      </c>
      <c r="B22" s="14" t="n">
        <v>3200</v>
      </c>
      <c r="C22" s="14" t="n">
        <v>1250</v>
      </c>
      <c r="D22" s="39">
        <f>B22-C22</f>
        <v/>
      </c>
      <c r="E22" s="39">
        <f>E21+D22</f>
        <v/>
      </c>
      <c r="F22" s="40">
        <f>IF(AND(E22&gt;=0,COUNTIF($E$14:E22,"&lt;0")=0),"持续回正",IF(E22&gt;=0,"回正(曾负)","负"))</f>
        <v/>
      </c>
      <c r="G22" s="35" t="n"/>
    </row>
    <row r="23">
      <c r="A23" s="6" t="n">
        <v>10</v>
      </c>
      <c r="B23" s="14" t="n">
        <v>3300</v>
      </c>
      <c r="C23" s="14" t="n">
        <v>1300</v>
      </c>
      <c r="D23" s="39">
        <f>B23-C23</f>
        <v/>
      </c>
      <c r="E23" s="39">
        <f>E22+D23</f>
        <v/>
      </c>
      <c r="F23" s="40">
        <f>IF(AND(E23&gt;=0,COUNTIF($E$14:E23,"&lt;0")=0),"持续回正",IF(E23&gt;=0,"回正(曾负)","负"))</f>
        <v/>
      </c>
      <c r="G23" s="35" t="n"/>
    </row>
    <row r="24">
      <c r="A24" s="6" t="n">
        <v>11</v>
      </c>
      <c r="B24" s="14" t="n">
        <v>3400</v>
      </c>
      <c r="C24" s="14" t="n">
        <v>1350</v>
      </c>
      <c r="D24" s="39">
        <f>B24-C24</f>
        <v/>
      </c>
      <c r="E24" s="39">
        <f>E23+D24</f>
        <v/>
      </c>
      <c r="F24" s="40">
        <f>IF(AND(E24&gt;=0,COUNTIF($E$14:E24,"&lt;0")=0),"持续回正",IF(E24&gt;=0,"回正(曾负)","负"))</f>
        <v/>
      </c>
      <c r="G24" s="35" t="n"/>
    </row>
    <row r="25">
      <c r="A25" s="6" t="n">
        <v>12</v>
      </c>
      <c r="B25" s="14" t="n">
        <v>3500</v>
      </c>
      <c r="C25" s="14" t="n">
        <v>1400</v>
      </c>
      <c r="D25" s="39">
        <f>B25-C25</f>
        <v/>
      </c>
      <c r="E25" s="39">
        <f>E24+D25</f>
        <v/>
      </c>
      <c r="F25" s="40">
        <f>IF(AND(E25&gt;=0,COUNTIF($E$14:E25,"&lt;0")=0),"持续回正",IF(E25&gt;=0,"回正(曾负)","负"))</f>
        <v/>
      </c>
      <c r="G25" s="35" t="n"/>
    </row>
    <row r="26">
      <c r="A26" s="6" t="n">
        <v>13</v>
      </c>
      <c r="B26" s="14" t="n">
        <v>3500</v>
      </c>
      <c r="C26" s="14" t="n">
        <v>1450</v>
      </c>
      <c r="D26" s="39">
        <f>B26-C26</f>
        <v/>
      </c>
      <c r="E26" s="39">
        <f>E25+D26</f>
        <v/>
      </c>
      <c r="F26" s="40">
        <f>IF(AND(E26&gt;=0,COUNTIF($E$14:E26,"&lt;0")=0),"持续回正",IF(E26&gt;=0,"回正(曾负)","负"))</f>
        <v/>
      </c>
      <c r="G26" s="35" t="n"/>
    </row>
    <row r="27">
      <c r="A27" s="6" t="n">
        <v>14</v>
      </c>
      <c r="B27" s="14" t="n">
        <v>3500</v>
      </c>
      <c r="C27" s="14" t="n">
        <v>1500</v>
      </c>
      <c r="D27" s="39">
        <f>B27-C27</f>
        <v/>
      </c>
      <c r="E27" s="39">
        <f>E26+D27</f>
        <v/>
      </c>
      <c r="F27" s="40">
        <f>IF(AND(E27&gt;=0,COUNTIF($E$14:E27,"&lt;0")=0),"持续回正",IF(E27&gt;=0,"回正(曾负)","负"))</f>
        <v/>
      </c>
      <c r="G27" s="35" t="n"/>
    </row>
    <row r="28">
      <c r="A28" s="6" t="n">
        <v>15</v>
      </c>
      <c r="B28" s="14" t="n">
        <v>3500</v>
      </c>
      <c r="C28" s="14" t="n">
        <v>1550</v>
      </c>
      <c r="D28" s="39">
        <f>B28-C28</f>
        <v/>
      </c>
      <c r="E28" s="39">
        <f>E27+D28</f>
        <v/>
      </c>
      <c r="F28" s="40">
        <f>IF(AND(E28&gt;=0,COUNTIF($E$14:E28,"&lt;0")=0),"持续回正",IF(E28&gt;=0,"回正(曾负)","负"))</f>
        <v/>
      </c>
      <c r="G28" s="35" t="n"/>
    </row>
    <row r="29">
      <c r="A29" s="6" t="n">
        <v>16</v>
      </c>
      <c r="B29" s="14" t="n">
        <v>3500</v>
      </c>
      <c r="C29" s="14" t="n">
        <v>1600</v>
      </c>
      <c r="D29" s="39">
        <f>B29-C29</f>
        <v/>
      </c>
      <c r="E29" s="39">
        <f>E28+D29</f>
        <v/>
      </c>
      <c r="F29" s="40">
        <f>IF(AND(E29&gt;=0,COUNTIF($E$14:E29,"&lt;0")=0),"持续回正",IF(E29&gt;=0,"回正(曾负)","负"))</f>
        <v/>
      </c>
      <c r="G29" s="35" t="n"/>
    </row>
    <row r="30">
      <c r="A30" s="6" t="n">
        <v>17</v>
      </c>
      <c r="B30" s="14" t="n">
        <v>3500</v>
      </c>
      <c r="C30" s="14" t="n">
        <v>1650</v>
      </c>
      <c r="D30" s="39">
        <f>B30-C30</f>
        <v/>
      </c>
      <c r="E30" s="39">
        <f>E29+D30</f>
        <v/>
      </c>
      <c r="F30" s="40">
        <f>IF(AND(E30&gt;=0,COUNTIF($E$14:E30,"&lt;0")=0),"持续回正",IF(E30&gt;=0,"回正(曾负)","负"))</f>
        <v/>
      </c>
      <c r="G30" s="35" t="n"/>
    </row>
    <row r="31">
      <c r="A31" s="6" t="n">
        <v>18</v>
      </c>
      <c r="B31" s="14" t="n">
        <v>3500</v>
      </c>
      <c r="C31" s="14" t="n">
        <v>1700</v>
      </c>
      <c r="D31" s="39">
        <f>B31-C31</f>
        <v/>
      </c>
      <c r="E31" s="39">
        <f>E30+D31</f>
        <v/>
      </c>
      <c r="F31" s="40">
        <f>IF(AND(E31&gt;=0,COUNTIF($E$14:E31,"&lt;0")=0),"持续回正",IF(E31&gt;=0,"回正(曾负)","负"))</f>
        <v/>
      </c>
      <c r="G31" s="35" t="n"/>
    </row>
    <row r="32">
      <c r="A32" s="6" t="n">
        <v>19</v>
      </c>
      <c r="B32" s="14" t="n">
        <v>3500</v>
      </c>
      <c r="C32" s="14" t="n">
        <v>1750</v>
      </c>
      <c r="D32" s="39">
        <f>B32-C32</f>
        <v/>
      </c>
      <c r="E32" s="39">
        <f>E31+D32</f>
        <v/>
      </c>
      <c r="F32" s="40">
        <f>IF(AND(E32&gt;=0,COUNTIF($E$14:E32,"&lt;0")=0),"持续回正",IF(E32&gt;=0,"回正(曾负)","负"))</f>
        <v/>
      </c>
      <c r="G32" s="35" t="n"/>
    </row>
    <row r="33">
      <c r="A33" s="6" t="n">
        <v>20</v>
      </c>
      <c r="B33" s="14" t="n">
        <v>3500</v>
      </c>
      <c r="C33" s="14" t="n">
        <v>1800</v>
      </c>
      <c r="D33" s="39">
        <f>B33-C33</f>
        <v/>
      </c>
      <c r="E33" s="39">
        <f>E32+D33</f>
        <v/>
      </c>
      <c r="F33" s="40">
        <f>IF(AND(E33&gt;=0,COUNTIF($E$14:E33,"&lt;0")=0),"持续回正",IF(E33&gt;=0,"回正(曾负)","负"))</f>
        <v/>
      </c>
      <c r="G33" s="35" t="n"/>
    </row>
    <row r="34"/>
    <row r="35" ht="22" customHeight="1">
      <c r="A35" s="4" t="inlineStr">
        <is>
          <t>三、关键结果</t>
        </is>
      </c>
    </row>
    <row r="36"/>
    <row r="37">
      <c r="A37" s="21" t="inlineStr">
        <is>
          <t>累计净CF最终值</t>
        </is>
      </c>
      <c r="B37" s="30" t="n"/>
      <c r="C37" s="18">
        <f>E33</f>
        <v/>
      </c>
      <c r="D37" s="37" t="n"/>
      <c r="E37" s="37" t="n"/>
      <c r="F37" s="37" t="n"/>
      <c r="G37" s="30" t="n"/>
    </row>
    <row r="38">
      <c r="A38" s="21" t="inlineStr">
        <is>
          <t>首次非负时点(年)</t>
        </is>
      </c>
      <c r="B38" s="30" t="n"/>
      <c r="C38" s="41">
        <f>MATCH(TRUE,INDEX(E14:E33&gt;=0,0),0)</f>
        <v/>
      </c>
      <c r="D38" s="37" t="n"/>
      <c r="E38" s="37" t="n"/>
      <c r="F38" s="37" t="n"/>
      <c r="G38" s="30" t="n"/>
    </row>
    <row r="39">
      <c r="A39" s="21" t="inlineStr">
        <is>
          <t>持续回正时点(年)</t>
        </is>
      </c>
      <c r="B39" s="30" t="n"/>
      <c r="C39" s="41">
        <f>IFERROR(MATCH("持续回正",F14:F33,0),-1)</f>
        <v/>
      </c>
      <c r="D39" s="37" t="n"/>
      <c r="E39" s="37" t="n"/>
      <c r="F39" s="37" t="n"/>
      <c r="G39" s="30" t="n"/>
    </row>
    <row r="40">
      <c r="A40" s="21" t="inlineStr">
        <is>
          <t>现金流回正期(年)</t>
        </is>
      </c>
      <c r="B40" s="30" t="n"/>
      <c r="C40" s="41">
        <f>C39</f>
        <v/>
      </c>
      <c r="D40" s="37" t="n"/>
      <c r="E40" s="37" t="n"/>
      <c r="F40" s="37" t="n"/>
      <c r="G40" s="30" t="n"/>
    </row>
    <row r="41">
      <c r="A41" s="21" t="inlineStr">
        <is>
          <t>回正期(以月为单位)</t>
        </is>
      </c>
      <c r="B41" s="30" t="n"/>
      <c r="C41" s="41">
        <f>C39*B10</f>
        <v/>
      </c>
      <c r="D41" s="37" t="n"/>
      <c r="E41" s="37" t="n"/>
      <c r="F41" s="37" t="n"/>
      <c r="G41" s="30" t="n"/>
    </row>
    <row r="42">
      <c r="A42" s="21" t="inlineStr">
        <is>
          <t>5年阈值校验</t>
        </is>
      </c>
      <c r="B42" s="30" t="n"/>
      <c r="C42" s="22">
        <f>IF(AND(C39&gt;0,C39&lt;=5),"✓ 合规(风险账户)","✗ 超阈值")</f>
        <v/>
      </c>
      <c r="D42" s="37" t="n"/>
      <c r="E42" s="37" t="n"/>
      <c r="F42" s="37" t="n"/>
      <c r="G42" s="30" t="n"/>
    </row>
    <row r="43"/>
    <row r="44"/>
    <row r="45">
      <c r="A45" s="24" t="inlineStr">
        <is>
          <t>【解读说明】
1. 现金流回正期是衡量资产负债流动性匹配的核心指标
2. "持续回正"指首次出现累计净现金流转正且此后未再转负
3. 风险账户：短期险、万能险等，回正期 ≤ 5 年
4. 长期账户：寿险、年金险等，回正期通常 &lt; 8-10 年
5. 回正期过长提示：投资资产期限偏短、负债端给付过快
6. 可通过资产再配置、负债结构调整、再保安排等手段缩短回正期
7. 实操中应区分账户类型分别测算，并配合流动性覆盖率（LCR）一起使用</t>
        </is>
      </c>
    </row>
    <row r="46"/>
    <row r="47"/>
    <row r="48"/>
    <row r="49"/>
  </sheetData>
  <mergeCells count="29">
    <mergeCell ref="E10:G10"/>
    <mergeCell ref="C42:G42"/>
    <mergeCell ref="A35:G35"/>
    <mergeCell ref="A4:G4"/>
    <mergeCell ref="E9:G9"/>
    <mergeCell ref="C10:D10"/>
    <mergeCell ref="A41:B41"/>
    <mergeCell ref="A37:B37"/>
    <mergeCell ref="C41:G41"/>
    <mergeCell ref="C9:D9"/>
    <mergeCell ref="C40:G40"/>
    <mergeCell ref="A1:G1"/>
    <mergeCell ref="A42:B42"/>
    <mergeCell ref="A7:G7"/>
    <mergeCell ref="C39:G39"/>
    <mergeCell ref="A45:G49"/>
    <mergeCell ref="A8:B8"/>
    <mergeCell ref="C8:D8"/>
    <mergeCell ref="A38:B38"/>
    <mergeCell ref="A3:G3"/>
    <mergeCell ref="C38:G38"/>
    <mergeCell ref="E8:G8"/>
    <mergeCell ref="A10:B10"/>
    <mergeCell ref="A12:G12"/>
    <mergeCell ref="C37:G37"/>
    <mergeCell ref="A40:B40"/>
    <mergeCell ref="A9:B9"/>
    <mergeCell ref="A39:B39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久期与凸性 · ALG-004/005</t>
        </is>
      </c>
    </row>
    <row r="2"/>
    <row r="3" ht="22" customHeight="1">
      <c r="A3" s="10" t="inlineStr">
        <is>
          <t>【算法】麦考利久期 / 修正久期 / 凸性</t>
        </is>
      </c>
    </row>
    <row r="4" ht="50" customHeight="1">
      <c r="A4" s="11" t="inlineStr">
        <is>
          <t>【公式】Dmac = Σ[t·CF_t/(1+y/m)^t] / Σ[CF_t/(1+y/m)^t]  ;  Dmod = Dmac / (1+y/m)  ;  C = [P(y-Δy) + P(y+Δy) - 2P(y)] / [P(y)·(Δy)²]</t>
        </is>
      </c>
    </row>
    <row r="5" ht="60" customHeight="1">
      <c r="A5" s="12" t="inlineStr">
        <is>
          <t>【说明】久期衡量债券价格对利率变动的敏感性，凸性衡量价格-收益率曲线的曲率。本案例采用 5 年期国债，每年付息，到期收益率 3%，面值 100。</t>
        </is>
      </c>
    </row>
    <row r="6"/>
    <row r="7" ht="22" customHeight="1">
      <c r="A7" s="4" t="inlineStr">
        <is>
          <t>一、债券参数输入</t>
        </is>
      </c>
    </row>
    <row r="8">
      <c r="A8" s="17" t="inlineStr">
        <is>
          <t>债券名称</t>
        </is>
      </c>
      <c r="B8" s="30" t="n"/>
      <c r="C8" s="13" t="inlineStr">
        <is>
          <t>5年期国债</t>
        </is>
      </c>
      <c r="D8" s="30" t="n"/>
    </row>
    <row r="9">
      <c r="A9" s="17" t="inlineStr">
        <is>
          <t>面值</t>
        </is>
      </c>
      <c r="B9" s="30" t="n"/>
      <c r="C9" s="13" t="n">
        <v>100</v>
      </c>
      <c r="D9" s="30" t="n"/>
    </row>
    <row r="10">
      <c r="A10" s="17" t="inlineStr">
        <is>
          <t>票面利率</t>
        </is>
      </c>
      <c r="B10" s="30" t="n"/>
      <c r="C10" s="42" t="n">
        <v>0.03</v>
      </c>
      <c r="D10" s="30" t="n"/>
    </row>
    <row r="11">
      <c r="A11" s="17" t="inlineStr">
        <is>
          <t>到期收益率(YTM)</t>
        </is>
      </c>
      <c r="B11" s="30" t="n"/>
      <c r="C11" s="42" t="n">
        <v>0.03</v>
      </c>
      <c r="D11" s="30" t="n"/>
    </row>
    <row r="12">
      <c r="A12" s="17" t="inlineStr">
        <is>
          <t>每年付息次数</t>
        </is>
      </c>
      <c r="B12" s="30" t="n"/>
      <c r="C12" s="13" t="n">
        <v>2</v>
      </c>
      <c r="D12" s="30" t="n"/>
    </row>
    <row r="13">
      <c r="A13" s="17" t="inlineStr">
        <is>
          <t>剩余期限(年)</t>
        </is>
      </c>
      <c r="B13" s="30" t="n"/>
      <c r="C13" s="13" t="n">
        <v>5</v>
      </c>
      <c r="D13" s="30" t="n"/>
    </row>
    <row r="14">
      <c r="A14" s="17" t="inlineStr">
        <is>
          <t>债券类型</t>
        </is>
      </c>
      <c r="B14" s="30" t="n"/>
      <c r="C14" s="13" t="inlineStr">
        <is>
          <t>固定息票</t>
        </is>
      </c>
      <c r="D14" s="30" t="n"/>
    </row>
    <row r="15">
      <c r="A15" s="17" t="inlineStr">
        <is>
          <t>Δy(bp)</t>
        </is>
      </c>
      <c r="B15" s="30" t="n"/>
      <c r="C15" s="42" t="n">
        <v>0.0001</v>
      </c>
      <c r="D15" s="30" t="n"/>
    </row>
    <row r="16"/>
    <row r="17" ht="22" customHeight="1">
      <c r="A17" s="4" t="inlineStr">
        <is>
          <t>二、债券现金流时间表</t>
        </is>
      </c>
    </row>
    <row r="18">
      <c r="A18" s="5" t="inlineStr">
        <is>
          <t>期数t</t>
        </is>
      </c>
      <c r="B18" s="5" t="inlineStr">
        <is>
          <t>现金流CF</t>
        </is>
      </c>
      <c r="C18" s="5" t="inlineStr">
        <is>
          <t>折现因子</t>
        </is>
      </c>
      <c r="D18" s="5" t="inlineStr">
        <is>
          <t>现值PV</t>
        </is>
      </c>
      <c r="E18" s="5" t="inlineStr">
        <is>
          <t>t·PV</t>
        </is>
      </c>
      <c r="F18" s="5" t="inlineStr">
        <is>
          <t>累计PV</t>
        </is>
      </c>
    </row>
    <row r="19">
      <c r="A19" s="6" t="n">
        <v>1</v>
      </c>
      <c r="B19" s="27">
        <f>C9*C8/2</f>
        <v/>
      </c>
      <c r="C19" s="43">
        <f>1/(1+C11/C12)^A19</f>
        <v/>
      </c>
      <c r="D19" s="27">
        <f>B19*C19</f>
        <v/>
      </c>
      <c r="E19" s="27">
        <f>A19*D19</f>
        <v/>
      </c>
      <c r="F19" s="27">
        <f>D19</f>
        <v/>
      </c>
    </row>
    <row r="20">
      <c r="A20" s="6" t="n">
        <v>2</v>
      </c>
      <c r="B20" s="27">
        <f>C9*C8/2</f>
        <v/>
      </c>
      <c r="C20" s="43">
        <f>1/(1+C11/C12)^A20</f>
        <v/>
      </c>
      <c r="D20" s="27">
        <f>B20*C20</f>
        <v/>
      </c>
      <c r="E20" s="27">
        <f>A20*D20</f>
        <v/>
      </c>
      <c r="F20" s="27">
        <f>F19+D20</f>
        <v/>
      </c>
    </row>
    <row r="21">
      <c r="A21" s="6" t="n">
        <v>3</v>
      </c>
      <c r="B21" s="27">
        <f>C9*C8/2</f>
        <v/>
      </c>
      <c r="C21" s="43">
        <f>1/(1+C11/C12)^A21</f>
        <v/>
      </c>
      <c r="D21" s="27">
        <f>B21*C21</f>
        <v/>
      </c>
      <c r="E21" s="27">
        <f>A21*D21</f>
        <v/>
      </c>
      <c r="F21" s="27">
        <f>F20+D21</f>
        <v/>
      </c>
    </row>
    <row r="22">
      <c r="A22" s="6" t="n">
        <v>4</v>
      </c>
      <c r="B22" s="27">
        <f>C9*C8/2</f>
        <v/>
      </c>
      <c r="C22" s="43">
        <f>1/(1+C11/C12)^A22</f>
        <v/>
      </c>
      <c r="D22" s="27">
        <f>B22*C22</f>
        <v/>
      </c>
      <c r="E22" s="27">
        <f>A22*D22</f>
        <v/>
      </c>
      <c r="F22" s="27">
        <f>F21+D22</f>
        <v/>
      </c>
    </row>
    <row r="23">
      <c r="A23" s="6" t="n">
        <v>5</v>
      </c>
      <c r="B23" s="27">
        <f>C9*C8/2</f>
        <v/>
      </c>
      <c r="C23" s="43">
        <f>1/(1+C11/C12)^A23</f>
        <v/>
      </c>
      <c r="D23" s="27">
        <f>B23*C23</f>
        <v/>
      </c>
      <c r="E23" s="27">
        <f>A23*D23</f>
        <v/>
      </c>
      <c r="F23" s="27">
        <f>F22+D23</f>
        <v/>
      </c>
    </row>
    <row r="24">
      <c r="A24" s="6" t="n">
        <v>6</v>
      </c>
      <c r="B24" s="27">
        <f>C9*C8/2</f>
        <v/>
      </c>
      <c r="C24" s="43">
        <f>1/(1+C11/C12)^A24</f>
        <v/>
      </c>
      <c r="D24" s="27">
        <f>B24*C24</f>
        <v/>
      </c>
      <c r="E24" s="27">
        <f>A24*D24</f>
        <v/>
      </c>
      <c r="F24" s="27">
        <f>F23+D24</f>
        <v/>
      </c>
    </row>
    <row r="25">
      <c r="A25" s="6" t="n">
        <v>7</v>
      </c>
      <c r="B25" s="27">
        <f>C9*C8/2</f>
        <v/>
      </c>
      <c r="C25" s="43">
        <f>1/(1+C11/C12)^A25</f>
        <v/>
      </c>
      <c r="D25" s="27">
        <f>B25*C25</f>
        <v/>
      </c>
      <c r="E25" s="27">
        <f>A25*D25</f>
        <v/>
      </c>
      <c r="F25" s="27">
        <f>F24+D25</f>
        <v/>
      </c>
    </row>
    <row r="26">
      <c r="A26" s="6" t="n">
        <v>8</v>
      </c>
      <c r="B26" s="27">
        <f>C9*C8/2</f>
        <v/>
      </c>
      <c r="C26" s="43">
        <f>1/(1+C11/C12)^A26</f>
        <v/>
      </c>
      <c r="D26" s="27">
        <f>B26*C26</f>
        <v/>
      </c>
      <c r="E26" s="27">
        <f>A26*D26</f>
        <v/>
      </c>
      <c r="F26" s="27">
        <f>F25+D26</f>
        <v/>
      </c>
    </row>
    <row r="27">
      <c r="A27" s="6" t="n">
        <v>9</v>
      </c>
      <c r="B27" s="27">
        <f>C9*C8/2</f>
        <v/>
      </c>
      <c r="C27" s="43">
        <f>1/(1+C11/C12)^A27</f>
        <v/>
      </c>
      <c r="D27" s="27">
        <f>B27*C27</f>
        <v/>
      </c>
      <c r="E27" s="27">
        <f>A27*D27</f>
        <v/>
      </c>
      <c r="F27" s="27">
        <f>F26+D27</f>
        <v/>
      </c>
    </row>
    <row r="28">
      <c r="A28" s="6" t="n">
        <v>10</v>
      </c>
      <c r="B28" s="27">
        <f>C9*C8/2+C8</f>
        <v/>
      </c>
      <c r="C28" s="43">
        <f>1/(1+C11/C12)^A28</f>
        <v/>
      </c>
      <c r="D28" s="27">
        <f>B28*C28</f>
        <v/>
      </c>
      <c r="E28" s="27">
        <f>A28*D28</f>
        <v/>
      </c>
      <c r="F28" s="27">
        <f>F27+D28</f>
        <v/>
      </c>
    </row>
    <row r="29">
      <c r="A29" s="31" t="inlineStr">
        <is>
          <t>合计</t>
        </is>
      </c>
      <c r="B29" s="44">
        <f>SUM(B19:B28)</f>
        <v/>
      </c>
      <c r="C29" s="35" t="n"/>
      <c r="D29" s="34">
        <f>SUM(D19:D28)</f>
        <v/>
      </c>
      <c r="E29" s="34">
        <f>SUM(E19:E28)</f>
        <v/>
      </c>
      <c r="F29" s="35" t="n"/>
    </row>
    <row r="30"/>
    <row r="31" ht="22" customHeight="1">
      <c r="A31" s="4" t="inlineStr">
        <is>
          <t>三、久期与凸性计算</t>
        </is>
      </c>
    </row>
    <row r="32">
      <c r="A32" s="21" t="inlineStr">
        <is>
          <t>债券理论价格</t>
        </is>
      </c>
      <c r="B32" s="30" t="n"/>
      <c r="C32" s="45">
        <f>D29</f>
        <v/>
      </c>
      <c r="D32" s="30" t="n"/>
    </row>
    <row r="33">
      <c r="A33" s="21" t="inlineStr">
        <is>
          <t>麦考利久期(年)</t>
        </is>
      </c>
      <c r="B33" s="30" t="n"/>
      <c r="C33" s="36">
        <f>E29/D29</f>
        <v/>
      </c>
      <c r="D33" s="30" t="n"/>
    </row>
    <row r="34">
      <c r="A34" s="21" t="inlineStr">
        <is>
          <t>修正久期</t>
        </is>
      </c>
      <c r="B34" s="30" t="n"/>
      <c r="C34" s="36">
        <f>C33/(1+C11/C12)</f>
        <v/>
      </c>
      <c r="D34" s="30" t="n"/>
    </row>
    <row r="35">
      <c r="A35" s="21" t="inlineStr">
        <is>
          <t>凸性</t>
        </is>
      </c>
      <c r="B35" s="30" t="n"/>
      <c r="C35" s="44">
        <f>C34*C10</f>
        <v/>
      </c>
      <c r="D35" s="30" t="n"/>
    </row>
    <row r="36"/>
    <row r="37">
      <c r="A37" s="21" t="inlineStr">
        <is>
          <t>Δy=+100bp 价格变化</t>
        </is>
      </c>
      <c r="B37" s="30" t="n"/>
      <c r="C37" s="45">
        <f>C32*(1-C34*0.01)</f>
        <v/>
      </c>
      <c r="D37" s="30" t="n"/>
    </row>
    <row r="38">
      <c r="A38" s="6" t="inlineStr">
        <is>
          <t>仅久期近似</t>
        </is>
      </c>
      <c r="B38" s="30" t="n"/>
      <c r="C38" s="45">
        <f>C32-C34*C32*0.01</f>
        <v/>
      </c>
      <c r="D38" s="30" t="n"/>
    </row>
    <row r="39">
      <c r="A39" s="6" t="inlineStr">
        <is>
          <t>久期+凸性近似</t>
        </is>
      </c>
      <c r="B39" s="30" t="n"/>
      <c r="C39" s="45">
        <f>C32-C34*C32*0.01+0.5*C35*C32*0.01^2</f>
        <v/>
      </c>
      <c r="D39" s="30" t="n"/>
    </row>
    <row r="40">
      <c r="A40" s="6" t="inlineStr">
        <is>
          <t>Δy=-100bp 价格(久期+凸性)</t>
        </is>
      </c>
      <c r="B40" s="30" t="n"/>
      <c r="C40" s="45">
        <f>C32+C34*C32*0.01+0.5*C35*C32*0.01^2</f>
        <v/>
      </c>
      <c r="D40" s="30" t="n"/>
    </row>
    <row r="41"/>
    <row r="42" ht="22" customHeight="1">
      <c r="A42" s="4" t="inlineStr">
        <is>
          <t>四、久期缺口分析</t>
        </is>
      </c>
    </row>
    <row r="43">
      <c r="A43" s="46" t="n">
        <v>7.5</v>
      </c>
      <c r="B43" s="30" t="n"/>
      <c r="C43" s="47" t="n">
        <v>1000</v>
      </c>
    </row>
    <row r="44">
      <c r="A44" s="46" t="n">
        <v>8.199999999999999</v>
      </c>
      <c r="B44" s="30" t="n"/>
      <c r="C44" s="47" t="n">
        <v>1100</v>
      </c>
    </row>
    <row r="45"/>
    <row r="46">
      <c r="A46" s="21" t="inlineStr">
        <is>
          <t>久期缺口 DGAP</t>
        </is>
      </c>
      <c r="B46" s="30" t="n"/>
      <c r="C46" s="23">
        <f>A43-A44</f>
        <v/>
      </c>
      <c r="D46" s="30" t="n"/>
    </row>
    <row r="47">
      <c r="A47" s="21" t="inlineStr">
        <is>
          <t>利率+100bp资产端变动(亿)</t>
        </is>
      </c>
      <c r="B47" s="30" t="n"/>
      <c r="C47" s="44">
        <f>-A43*C43*0.01</f>
        <v/>
      </c>
      <c r="D47" s="30" t="n"/>
    </row>
    <row r="48">
      <c r="A48" s="21" t="inlineStr">
        <is>
          <t>利率+100bp负债端变动(亿)</t>
        </is>
      </c>
      <c r="B48" s="30" t="n"/>
      <c r="C48" s="44">
        <f>-A44*C44*0.01</f>
        <v/>
      </c>
      <c r="D48" s="30" t="n"/>
    </row>
    <row r="49">
      <c r="A49" s="21" t="inlineStr">
        <is>
          <t>净资产变动(亿)</t>
        </is>
      </c>
      <c r="B49" s="30" t="n"/>
      <c r="C49" s="44">
        <f>C47-C48</f>
        <v/>
      </c>
      <c r="D49" s="30" t="n"/>
    </row>
    <row r="50"/>
    <row r="51"/>
    <row r="52">
      <c r="A52" s="24" t="inlineStr">
        <is>
          <t>【解读说明】
1. 麦考利久期：债券各期现金流加权平均到期时间
2. 修正久期：考虑收益率的久期，更准确反映利率敏感性
3. 凸性：对久期近似的二阶修正，利率大幅变动时尤为关键
4. 久期缺口 DGAP = DA - DL：
   - DGAP &gt; 0：利率上升时资产贬值幅度 &gt; 负债 → 公司损失
   - DGAP &lt; 0：利率下降时负债升值幅度 &gt; 资产 → 公司损失
5. 实务中应将久期缺口控制在 [-1, +1] 年内
6. 凸性越大，债券抗利率风险能力越强</t>
        </is>
      </c>
    </row>
    <row r="53"/>
    <row r="54"/>
    <row r="55"/>
    <row r="56"/>
  </sheetData>
  <mergeCells count="51">
    <mergeCell ref="C34:D34"/>
    <mergeCell ref="A48:B48"/>
    <mergeCell ref="A15:B15"/>
    <mergeCell ref="A17:G17"/>
    <mergeCell ref="C15:D15"/>
    <mergeCell ref="C33:D33"/>
    <mergeCell ref="A11:B11"/>
    <mergeCell ref="A49:B49"/>
    <mergeCell ref="A4:G4"/>
    <mergeCell ref="C14:D14"/>
    <mergeCell ref="A42:G42"/>
    <mergeCell ref="C35:D35"/>
    <mergeCell ref="C10:D10"/>
    <mergeCell ref="C47:D47"/>
    <mergeCell ref="A31:G31"/>
    <mergeCell ref="A37:B37"/>
    <mergeCell ref="A46:B46"/>
    <mergeCell ref="A52:G56"/>
    <mergeCell ref="C40:D40"/>
    <mergeCell ref="C9:D9"/>
    <mergeCell ref="A12:B12"/>
    <mergeCell ref="A34:B34"/>
    <mergeCell ref="C12:D12"/>
    <mergeCell ref="C49:D49"/>
    <mergeCell ref="A1:G1"/>
    <mergeCell ref="C46:D46"/>
    <mergeCell ref="C11:D11"/>
    <mergeCell ref="A33:B33"/>
    <mergeCell ref="A47:B47"/>
    <mergeCell ref="A32:B32"/>
    <mergeCell ref="A14:B14"/>
    <mergeCell ref="A7:G7"/>
    <mergeCell ref="C48:D48"/>
    <mergeCell ref="A8:B8"/>
    <mergeCell ref="C39:D39"/>
    <mergeCell ref="C8:D8"/>
    <mergeCell ref="A35:B35"/>
    <mergeCell ref="A38:B38"/>
    <mergeCell ref="C32:D32"/>
    <mergeCell ref="C38:D38"/>
    <mergeCell ref="A43:B43"/>
    <mergeCell ref="A3:G3"/>
    <mergeCell ref="A10:B10"/>
    <mergeCell ref="C37:D37"/>
    <mergeCell ref="A13:B13"/>
    <mergeCell ref="A44:B44"/>
    <mergeCell ref="C13:D13"/>
    <mergeCell ref="A40:B40"/>
    <mergeCell ref="A9:B9"/>
    <mergeCell ref="A39:B39"/>
    <mergeCell ref="A5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现金流预测 · ALG-006</t>
        </is>
      </c>
    </row>
    <row r="2"/>
    <row r="3" ht="22" customHeight="1">
      <c r="A3" s="10" t="inlineStr">
        <is>
          <t>【算法】现金流预测模型</t>
        </is>
      </c>
    </row>
    <row r="4" ht="60" customHeight="1">
      <c r="A4" s="11" t="inlineStr">
        <is>
          <t>【公式】保费收入_t = Σ保单(有效保单数 × 缴费额 × (1-退保率))  ;  赔付支出_t = Σ保单(保额 × 死亡率 × (1-死亡率)^(t-1))  ;  净现金流_t = 保费收入_t + 投资收益_t - 赔付支出_t - 退保支出_t - 费用支出_t</t>
        </is>
      </c>
    </row>
    <row r="5" ht="60" customHeight="1">
      <c r="A5" s="12" t="inlineStr">
        <is>
          <t>【说明】本案例基于简化精算模型预测寿险公司未来 10 年现金流。输入为某险种的保单主档汇总数据 + 关键精算假设 + 投资收益率。</t>
        </is>
      </c>
    </row>
    <row r="6"/>
    <row r="7" ht="22" customHeight="1">
      <c r="A7" s="4" t="inlineStr">
        <is>
          <t>一、精算假设</t>
        </is>
      </c>
    </row>
    <row r="8">
      <c r="A8" s="17" t="inlineStr">
        <is>
          <t>初始有效保单数</t>
        </is>
      </c>
      <c r="B8" s="30" t="n"/>
      <c r="C8" s="47" t="n">
        <v>100000</v>
      </c>
      <c r="D8" s="30" t="n"/>
    </row>
    <row r="9">
      <c r="A9" s="17" t="inlineStr">
        <is>
          <t>平均保额(元)</t>
        </is>
      </c>
      <c r="B9" s="30" t="n"/>
      <c r="C9" s="47" t="n">
        <v>200000</v>
      </c>
      <c r="D9" s="30" t="n"/>
    </row>
    <row r="10">
      <c r="A10" s="17" t="inlineStr">
        <is>
          <t>年缴保费(元)</t>
        </is>
      </c>
      <c r="B10" s="30" t="n"/>
      <c r="C10" s="47" t="n">
        <v>5000</v>
      </c>
      <c r="D10" s="30" t="n"/>
    </row>
    <row r="11">
      <c r="A11" s="17" t="inlineStr">
        <is>
          <t>死亡率(年化)</t>
        </is>
      </c>
      <c r="B11" s="30" t="n"/>
      <c r="C11" s="48" t="n">
        <v>0.005</v>
      </c>
      <c r="D11" s="30" t="n"/>
    </row>
    <row r="12">
      <c r="A12" s="17" t="inlineStr">
        <is>
          <t>退保率(年化)</t>
        </is>
      </c>
      <c r="B12" s="30" t="n"/>
      <c r="C12" s="48" t="n">
        <v>0.05</v>
      </c>
      <c r="D12" s="30" t="n"/>
    </row>
    <row r="13">
      <c r="A13" s="17" t="inlineStr">
        <is>
          <t>费用率(年化)</t>
        </is>
      </c>
      <c r="B13" s="30" t="n"/>
      <c r="C13" s="48" t="n">
        <v>0.08</v>
      </c>
      <c r="D13" s="30" t="n"/>
    </row>
    <row r="14">
      <c r="A14" s="17" t="inlineStr">
        <is>
          <t>投资收益率</t>
        </is>
      </c>
      <c r="B14" s="30" t="n"/>
      <c r="C14" s="48" t="n">
        <v>0.045</v>
      </c>
      <c r="D14" s="30" t="n"/>
    </row>
    <row r="15">
      <c r="A15" s="17" t="inlineStr">
        <is>
          <t>保单维持率(年)</t>
        </is>
      </c>
      <c r="B15" s="30" t="n"/>
      <c r="C15" s="48" t="n">
        <v>0.95</v>
      </c>
      <c r="D15" s="30" t="n"/>
    </row>
    <row r="16"/>
    <row r="17" ht="22" customHeight="1">
      <c r="A17" s="4" t="inlineStr">
        <is>
          <t>二、未来10年现金流预测(单位:万元)</t>
        </is>
      </c>
    </row>
    <row r="18">
      <c r="A18" s="5" t="inlineStr">
        <is>
          <t>年度</t>
        </is>
      </c>
      <c r="B18" s="5" t="inlineStr">
        <is>
          <t>有效保单数</t>
        </is>
      </c>
      <c r="C18" s="5" t="inlineStr">
        <is>
          <t>保费收入</t>
        </is>
      </c>
      <c r="D18" s="5" t="inlineStr">
        <is>
          <t>投资收益</t>
        </is>
      </c>
      <c r="E18" s="5" t="inlineStr">
        <is>
          <t>赔付支出</t>
        </is>
      </c>
      <c r="F18" s="5" t="inlineStr">
        <is>
          <t>退保支出</t>
        </is>
      </c>
      <c r="G18" s="5" t="inlineStr">
        <is>
          <t>费用支出</t>
        </is>
      </c>
    </row>
    <row r="19">
      <c r="A19" s="49" t="n">
        <v>1</v>
      </c>
      <c r="B19" s="39">
        <f>C8</f>
        <v/>
      </c>
      <c r="C19" s="27">
        <f>B19*C10*(1-C12)/10000</f>
        <v/>
      </c>
      <c r="D19" s="27">
        <f>C19*C14</f>
        <v/>
      </c>
      <c r="E19" s="27">
        <f>B19*C9*C11/10000</f>
        <v/>
      </c>
      <c r="F19" s="27">
        <f>B19*C10*C12/10000</f>
        <v/>
      </c>
      <c r="G19" s="27">
        <f>C19*C13</f>
        <v/>
      </c>
    </row>
    <row r="20">
      <c r="A20" s="49" t="n">
        <v>2</v>
      </c>
      <c r="B20" s="39">
        <f>B19*C15</f>
        <v/>
      </c>
      <c r="C20" s="27">
        <f>B20*C10*(1-C12)/10000</f>
        <v/>
      </c>
      <c r="D20" s="27">
        <f>(D19+F19)*C14</f>
        <v/>
      </c>
      <c r="E20" s="27">
        <f>B20*C9*C11/10000</f>
        <v/>
      </c>
      <c r="F20" s="27">
        <f>B20*C10*C12/10000</f>
        <v/>
      </c>
      <c r="G20" s="27">
        <f>C20*C13</f>
        <v/>
      </c>
    </row>
    <row r="21">
      <c r="A21" s="49" t="n">
        <v>3</v>
      </c>
      <c r="B21" s="39">
        <f>B20*C15</f>
        <v/>
      </c>
      <c r="C21" s="27">
        <f>B21*C10*(1-C12)/10000</f>
        <v/>
      </c>
      <c r="D21" s="27">
        <f>(D20+F20)*C14</f>
        <v/>
      </c>
      <c r="E21" s="27">
        <f>B21*C9*C11/10000</f>
        <v/>
      </c>
      <c r="F21" s="27">
        <f>B21*C10*C12/10000</f>
        <v/>
      </c>
      <c r="G21" s="27">
        <f>C21*C13</f>
        <v/>
      </c>
    </row>
    <row r="22">
      <c r="A22" s="49" t="n">
        <v>4</v>
      </c>
      <c r="B22" s="39">
        <f>B21*C15</f>
        <v/>
      </c>
      <c r="C22" s="27">
        <f>B22*C10*(1-C12)/10000</f>
        <v/>
      </c>
      <c r="D22" s="27">
        <f>(D21+F21)*C14</f>
        <v/>
      </c>
      <c r="E22" s="27">
        <f>B22*C9*C11/10000</f>
        <v/>
      </c>
      <c r="F22" s="27">
        <f>B22*C10*C12/10000</f>
        <v/>
      </c>
      <c r="G22" s="27">
        <f>C22*C13</f>
        <v/>
      </c>
    </row>
    <row r="23">
      <c r="A23" s="49" t="n">
        <v>5</v>
      </c>
      <c r="B23" s="39">
        <f>B22*C15</f>
        <v/>
      </c>
      <c r="C23" s="27">
        <f>B23*C10*(1-C12)/10000</f>
        <v/>
      </c>
      <c r="D23" s="27">
        <f>(D22+F22)*C14</f>
        <v/>
      </c>
      <c r="E23" s="27">
        <f>B23*C9*C11/10000</f>
        <v/>
      </c>
      <c r="F23" s="27">
        <f>B23*C10*C12/10000</f>
        <v/>
      </c>
      <c r="G23" s="27">
        <f>C23*C13</f>
        <v/>
      </c>
    </row>
    <row r="24">
      <c r="A24" s="49" t="n">
        <v>6</v>
      </c>
      <c r="B24" s="39">
        <f>B23*C15</f>
        <v/>
      </c>
      <c r="C24" s="27">
        <f>B24*C10*(1-C12)/10000</f>
        <v/>
      </c>
      <c r="D24" s="27">
        <f>(D23+F23)*C14</f>
        <v/>
      </c>
      <c r="E24" s="27">
        <f>B24*C9*C11/10000</f>
        <v/>
      </c>
      <c r="F24" s="27">
        <f>B24*C10*C12/10000</f>
        <v/>
      </c>
      <c r="G24" s="27">
        <f>C24*C13</f>
        <v/>
      </c>
    </row>
    <row r="25">
      <c r="A25" s="49" t="n">
        <v>7</v>
      </c>
      <c r="B25" s="39">
        <f>B24*C15</f>
        <v/>
      </c>
      <c r="C25" s="27">
        <f>B25*C10*(1-C12)/10000</f>
        <v/>
      </c>
      <c r="D25" s="27">
        <f>(D24+F24)*C14</f>
        <v/>
      </c>
      <c r="E25" s="27">
        <f>B25*C9*C11/10000</f>
        <v/>
      </c>
      <c r="F25" s="27">
        <f>B25*C10*C12/10000</f>
        <v/>
      </c>
      <c r="G25" s="27">
        <f>C25*C13</f>
        <v/>
      </c>
    </row>
    <row r="26">
      <c r="A26" s="49" t="n">
        <v>8</v>
      </c>
      <c r="B26" s="39">
        <f>B25*C15</f>
        <v/>
      </c>
      <c r="C26" s="27">
        <f>B26*C10*(1-C12)/10000</f>
        <v/>
      </c>
      <c r="D26" s="27">
        <f>(D25+F25)*C14</f>
        <v/>
      </c>
      <c r="E26" s="27">
        <f>B26*C9*C11/10000</f>
        <v/>
      </c>
      <c r="F26" s="27">
        <f>B26*C10*C12/10000</f>
        <v/>
      </c>
      <c r="G26" s="27">
        <f>C26*C13</f>
        <v/>
      </c>
    </row>
    <row r="27">
      <c r="A27" s="49" t="n">
        <v>9</v>
      </c>
      <c r="B27" s="39">
        <f>B26*C15</f>
        <v/>
      </c>
      <c r="C27" s="27">
        <f>B27*C10*(1-C12)/10000</f>
        <v/>
      </c>
      <c r="D27" s="27">
        <f>(D26+F26)*C14</f>
        <v/>
      </c>
      <c r="E27" s="27">
        <f>B27*C9*C11/10000</f>
        <v/>
      </c>
      <c r="F27" s="27">
        <f>B27*C10*C12/10000</f>
        <v/>
      </c>
      <c r="G27" s="27">
        <f>C27*C13</f>
        <v/>
      </c>
    </row>
    <row r="28">
      <c r="A28" s="49" t="n">
        <v>10</v>
      </c>
      <c r="B28" s="39">
        <f>B27*C15</f>
        <v/>
      </c>
      <c r="C28" s="27">
        <f>B28*C10*(1-C12)/10000</f>
        <v/>
      </c>
      <c r="D28" s="27">
        <f>(D27+F27)*C14</f>
        <v/>
      </c>
      <c r="E28" s="27">
        <f>B28*C9*C11/10000</f>
        <v/>
      </c>
      <c r="F28" s="27">
        <f>B28*C10*C12/10000</f>
        <v/>
      </c>
      <c r="G28" s="27">
        <f>C28*C13</f>
        <v/>
      </c>
    </row>
    <row r="29">
      <c r="A29" s="31" t="inlineStr">
        <is>
          <t>合计</t>
        </is>
      </c>
      <c r="B29" s="35" t="n"/>
      <c r="C29" s="34">
        <f>SUM(C19:C28)</f>
        <v/>
      </c>
      <c r="D29" s="34">
        <f>SUM(D19:D28)</f>
        <v/>
      </c>
      <c r="E29" s="34">
        <f>SUM(E19:E28)</f>
        <v/>
      </c>
      <c r="F29" s="34">
        <f>SUM(F19:F28)</f>
        <v/>
      </c>
      <c r="G29" s="34">
        <f>SUM(G19:G28)</f>
        <v/>
      </c>
    </row>
    <row r="30"/>
    <row r="31" ht="22" customHeight="1">
      <c r="A31" s="4" t="inlineStr">
        <is>
          <t>三、净现金流与贴现</t>
        </is>
      </c>
    </row>
    <row r="32">
      <c r="A32" s="5" t="inlineStr">
        <is>
          <t>年度</t>
        </is>
      </c>
      <c r="B32" s="5" t="inlineStr">
        <is>
          <t>现金流入</t>
        </is>
      </c>
      <c r="C32" s="5" t="inlineStr">
        <is>
          <t>现金流出</t>
        </is>
      </c>
      <c r="D32" s="5" t="inlineStr">
        <is>
          <t>净现金流</t>
        </is>
      </c>
      <c r="E32" s="5" t="inlineStr">
        <is>
          <t>贴现因子</t>
        </is>
      </c>
      <c r="F32" s="5" t="inlineStr">
        <is>
          <t>净现金流PV</t>
        </is>
      </c>
    </row>
    <row r="33">
      <c r="A33" s="6" t="n">
        <v>1</v>
      </c>
      <c r="B33" s="27">
        <f>C19+D19</f>
        <v/>
      </c>
      <c r="C33" s="27">
        <f>E19+F19+G19</f>
        <v/>
      </c>
      <c r="D33" s="27">
        <f>B33-C33</f>
        <v/>
      </c>
      <c r="E33" s="43">
        <f>1/(1+C14)^A33</f>
        <v/>
      </c>
      <c r="F33" s="27">
        <f>D33*E33</f>
        <v/>
      </c>
    </row>
    <row r="34">
      <c r="A34" s="6" t="n">
        <v>2</v>
      </c>
      <c r="B34" s="27">
        <f>C20+D20</f>
        <v/>
      </c>
      <c r="C34" s="27">
        <f>E20+F20+G20</f>
        <v/>
      </c>
      <c r="D34" s="27">
        <f>B34-C34</f>
        <v/>
      </c>
      <c r="E34" s="43">
        <f>1/(1+C14)^A34</f>
        <v/>
      </c>
      <c r="F34" s="27">
        <f>D34*E34</f>
        <v/>
      </c>
    </row>
    <row r="35">
      <c r="A35" s="6" t="n">
        <v>3</v>
      </c>
      <c r="B35" s="27">
        <f>C21+D21</f>
        <v/>
      </c>
      <c r="C35" s="27">
        <f>E21+F21+G21</f>
        <v/>
      </c>
      <c r="D35" s="27">
        <f>B35-C35</f>
        <v/>
      </c>
      <c r="E35" s="43">
        <f>1/(1+C14)^A35</f>
        <v/>
      </c>
      <c r="F35" s="27">
        <f>D35*E35</f>
        <v/>
      </c>
    </row>
    <row r="36">
      <c r="A36" s="6" t="n">
        <v>4</v>
      </c>
      <c r="B36" s="27">
        <f>C22+D22</f>
        <v/>
      </c>
      <c r="C36" s="27">
        <f>E22+F22+G22</f>
        <v/>
      </c>
      <c r="D36" s="27">
        <f>B36-C36</f>
        <v/>
      </c>
      <c r="E36" s="43">
        <f>1/(1+C14)^A36</f>
        <v/>
      </c>
      <c r="F36" s="27">
        <f>D36*E36</f>
        <v/>
      </c>
    </row>
    <row r="37">
      <c r="A37" s="6" t="n">
        <v>5</v>
      </c>
      <c r="B37" s="27">
        <f>C23+D23</f>
        <v/>
      </c>
      <c r="C37" s="27">
        <f>E23+F23+G23</f>
        <v/>
      </c>
      <c r="D37" s="27">
        <f>B37-C37</f>
        <v/>
      </c>
      <c r="E37" s="43">
        <f>1/(1+C14)^A37</f>
        <v/>
      </c>
      <c r="F37" s="27">
        <f>D37*E37</f>
        <v/>
      </c>
    </row>
    <row r="38">
      <c r="A38" s="6" t="n">
        <v>6</v>
      </c>
      <c r="B38" s="27">
        <f>C24+D24</f>
        <v/>
      </c>
      <c r="C38" s="27">
        <f>E24+F24+G24</f>
        <v/>
      </c>
      <c r="D38" s="27">
        <f>B38-C38</f>
        <v/>
      </c>
      <c r="E38" s="43">
        <f>1/(1+C14)^A38</f>
        <v/>
      </c>
      <c r="F38" s="27">
        <f>D38*E38</f>
        <v/>
      </c>
    </row>
    <row r="39">
      <c r="A39" s="6" t="n">
        <v>7</v>
      </c>
      <c r="B39" s="27">
        <f>C25+D25</f>
        <v/>
      </c>
      <c r="C39" s="27">
        <f>E25+F25+G25</f>
        <v/>
      </c>
      <c r="D39" s="27">
        <f>B39-C39</f>
        <v/>
      </c>
      <c r="E39" s="43">
        <f>1/(1+C14)^A39</f>
        <v/>
      </c>
      <c r="F39" s="27">
        <f>D39*E39</f>
        <v/>
      </c>
    </row>
    <row r="40">
      <c r="A40" s="6" t="n">
        <v>8</v>
      </c>
      <c r="B40" s="27">
        <f>C26+D26</f>
        <v/>
      </c>
      <c r="C40" s="27">
        <f>E26+F26+G26</f>
        <v/>
      </c>
      <c r="D40" s="27">
        <f>B40-C40</f>
        <v/>
      </c>
      <c r="E40" s="43">
        <f>1/(1+C14)^A40</f>
        <v/>
      </c>
      <c r="F40" s="27">
        <f>D40*E40</f>
        <v/>
      </c>
    </row>
    <row r="41">
      <c r="A41" s="6" t="n">
        <v>9</v>
      </c>
      <c r="B41" s="27">
        <f>C27+D27</f>
        <v/>
      </c>
      <c r="C41" s="27">
        <f>E27+F27+G27</f>
        <v/>
      </c>
      <c r="D41" s="27">
        <f>B41-C41</f>
        <v/>
      </c>
      <c r="E41" s="43">
        <f>1/(1+C14)^A41</f>
        <v/>
      </c>
      <c r="F41" s="27">
        <f>D41*E41</f>
        <v/>
      </c>
    </row>
    <row r="42">
      <c r="A42" s="6" t="n">
        <v>10</v>
      </c>
      <c r="B42" s="27">
        <f>C28+D28</f>
        <v/>
      </c>
      <c r="C42" s="27">
        <f>E28+F28+G28</f>
        <v/>
      </c>
      <c r="D42" s="27">
        <f>B42-C42</f>
        <v/>
      </c>
      <c r="E42" s="43">
        <f>1/(1+C14)^A42</f>
        <v/>
      </c>
      <c r="F42" s="27">
        <f>D42*E42</f>
        <v/>
      </c>
    </row>
    <row r="43"/>
    <row r="44"/>
    <row r="45" ht="22" customHeight="1">
      <c r="A45" s="4" t="inlineStr">
        <is>
          <t>四、关键结果</t>
        </is>
      </c>
    </row>
    <row r="46">
      <c r="A46" s="21" t="inlineStr">
        <is>
          <t>累计净现金流</t>
        </is>
      </c>
      <c r="B46" s="37" t="n"/>
      <c r="C46" s="30" t="n"/>
      <c r="D46" s="44">
        <f>SUM(D33:D42)</f>
        <v/>
      </c>
      <c r="E46" s="37" t="n"/>
      <c r="F46" s="37" t="n"/>
      <c r="G46" s="30" t="n"/>
    </row>
    <row r="47">
      <c r="A47" s="21" t="inlineStr">
        <is>
          <t>累计净现金流PV</t>
        </is>
      </c>
      <c r="B47" s="37" t="n"/>
      <c r="C47" s="30" t="n"/>
      <c r="D47" s="44">
        <f>SUM(F33:F42)</f>
        <v/>
      </c>
      <c r="E47" s="37" t="n"/>
      <c r="F47" s="37" t="n"/>
      <c r="G47" s="30" t="n"/>
    </row>
    <row r="48">
      <c r="A48" s="21" t="inlineStr">
        <is>
          <t>累计现金流入</t>
        </is>
      </c>
      <c r="B48" s="37" t="n"/>
      <c r="C48" s="30" t="n"/>
      <c r="D48" s="44">
        <f>SUM(B33:B42)</f>
        <v/>
      </c>
      <c r="E48" s="37" t="n"/>
      <c r="F48" s="37" t="n"/>
      <c r="G48" s="30" t="n"/>
    </row>
    <row r="49">
      <c r="A49" s="21" t="inlineStr">
        <is>
          <t>累计现金流出</t>
        </is>
      </c>
      <c r="B49" s="37" t="n"/>
      <c r="C49" s="30" t="n"/>
      <c r="D49" s="44">
        <f>SUM(C33:C42)</f>
        <v/>
      </c>
      <c r="E49" s="37" t="n"/>
      <c r="F49" s="37" t="n"/>
      <c r="G49" s="30" t="n"/>
    </row>
    <row r="50">
      <c r="A50" s="21" t="inlineStr">
        <is>
          <t>内含价值(简化)</t>
        </is>
      </c>
      <c r="B50" s="37" t="n"/>
      <c r="C50" s="30" t="n"/>
      <c r="D50" s="44">
        <f>F43</f>
        <v/>
      </c>
      <c r="E50" s="37" t="n"/>
      <c r="F50" s="37" t="n"/>
      <c r="G50" s="30" t="n"/>
    </row>
    <row r="51"/>
    <row r="52"/>
    <row r="53">
      <c r="A53" s="24" t="inlineStr">
        <is>
          <t>【解读说明】
1. 现金流预测基于简化精算模型，实际需结合保单分组、产品差异、IFRS17 等
2. 投资收益假设按滚动计算：当年投资收益 = 上年净流入 × 投资收益率
3. 净现金流贴现值 = Σ 净现金流 / (1+r)^t，反映业务价值
4. 内含价值（简化）= 未来净现金流贴现值总和
5. 实务中应分别预测：
   - 不同险种（寿险、健康险、年金、分红、万能等）
   - 不同账户（传统账户、分红账户、万能账户等）
6. 现金流预测结果应定期与实际数据比对，偏差 &gt; 10% 需重新校准假设</t>
        </is>
      </c>
    </row>
    <row r="54"/>
    <row r="55"/>
    <row r="56"/>
    <row r="57"/>
  </sheetData>
  <mergeCells count="35">
    <mergeCell ref="A15:B15"/>
    <mergeCell ref="A17:G17"/>
    <mergeCell ref="C15:D15"/>
    <mergeCell ref="A46:C46"/>
    <mergeCell ref="A11:B11"/>
    <mergeCell ref="A4:G4"/>
    <mergeCell ref="C14:D14"/>
    <mergeCell ref="A50:C50"/>
    <mergeCell ref="C10:D10"/>
    <mergeCell ref="A47:C47"/>
    <mergeCell ref="A53:G57"/>
    <mergeCell ref="A31:G31"/>
    <mergeCell ref="D50:G50"/>
    <mergeCell ref="C9:D9"/>
    <mergeCell ref="A45:G45"/>
    <mergeCell ref="D46:G46"/>
    <mergeCell ref="A12:B12"/>
    <mergeCell ref="C12:D12"/>
    <mergeCell ref="A1:G1"/>
    <mergeCell ref="C11:D11"/>
    <mergeCell ref="A14:B14"/>
    <mergeCell ref="A7:G7"/>
    <mergeCell ref="D49:G49"/>
    <mergeCell ref="A8:B8"/>
    <mergeCell ref="A48:C48"/>
    <mergeCell ref="C8:D8"/>
    <mergeCell ref="D48:G48"/>
    <mergeCell ref="A49:C49"/>
    <mergeCell ref="A3:G3"/>
    <mergeCell ref="D47:G47"/>
    <mergeCell ref="A10:B10"/>
    <mergeCell ref="A13:B13"/>
    <mergeCell ref="C13:D13"/>
    <mergeCell ref="A9:B9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蒙特卡洛情景生成 · ALG-007</t>
        </is>
      </c>
    </row>
    <row r="2"/>
    <row r="3" ht="22" customHeight="1">
      <c r="A3" s="10" t="inlineStr">
        <is>
          <t>【算法】Hull-White 利率模型蒙特卡洛模拟</t>
        </is>
      </c>
    </row>
    <row r="4" ht="60" customHeight="1">
      <c r="A4" s="11" t="inlineStr">
        <is>
          <t>【公式】dr_t = (θ(t) - a·r_t)·dt + σ·dW_t  ;  θ(t) = ∂f(0,t)/∂t + a·f(0,t) + σ²/(2a)·(1-e^(-2at))</t>
        </is>
      </c>
    </row>
    <row r="5" ht="60" customHeight="1">
      <c r="A5" s="12" t="inlineStr">
        <is>
          <t>【说明】基于 Hull-White 短期利率模型生成未来 5 年、100 条路径的利率情景。通过 NORM.INV(RAND(),...) 模拟正态分布的随机扰动。可用于压力测试、资产负债动态匹配分析。</t>
        </is>
      </c>
    </row>
    <row r="6"/>
    <row r="7" ht="22" customHeight="1">
      <c r="A7" s="4" t="inlineStr">
        <is>
          <t>一、模型参数</t>
        </is>
      </c>
    </row>
    <row r="8">
      <c r="A8" s="17" t="inlineStr">
        <is>
          <t>初始利率 r₀</t>
        </is>
      </c>
      <c r="B8" s="30" t="n"/>
      <c r="C8" s="50" t="n">
        <v>0.03</v>
      </c>
      <c r="D8" s="30" t="n"/>
    </row>
    <row r="9">
      <c r="A9" s="17" t="inlineStr">
        <is>
          <t>均值回归速度 a</t>
        </is>
      </c>
      <c r="B9" s="30" t="n"/>
      <c r="C9" s="46" t="n">
        <v>0.2</v>
      </c>
      <c r="D9" s="30" t="n"/>
    </row>
    <row r="10">
      <c r="A10" s="17" t="inlineStr">
        <is>
          <t>长期均值 b</t>
        </is>
      </c>
      <c r="B10" s="30" t="n"/>
      <c r="C10" s="50" t="n">
        <v>0.035</v>
      </c>
      <c r="D10" s="30" t="n"/>
    </row>
    <row r="11">
      <c r="A11" s="17" t="inlineStr">
        <is>
          <t>波动率 σ</t>
        </is>
      </c>
      <c r="B11" s="30" t="n"/>
      <c r="C11" s="50" t="n">
        <v>0.015</v>
      </c>
      <c r="D11" s="30" t="n"/>
    </row>
    <row r="12">
      <c r="A12" s="17" t="inlineStr">
        <is>
          <t>模拟路径数</t>
        </is>
      </c>
      <c r="B12" s="30" t="n"/>
      <c r="C12" s="38" t="n">
        <v>100</v>
      </c>
      <c r="D12" s="30" t="n"/>
    </row>
    <row r="13">
      <c r="A13" s="17" t="inlineStr">
        <is>
          <t>模拟年限</t>
        </is>
      </c>
      <c r="B13" s="30" t="n"/>
      <c r="C13" s="38" t="n">
        <v>5</v>
      </c>
      <c r="D13" s="30" t="n"/>
    </row>
    <row r="14">
      <c r="A14" s="17" t="inlineStr">
        <is>
          <t>时间步长</t>
        </is>
      </c>
      <c r="B14" s="30" t="n"/>
      <c r="C14" s="46" t="n">
        <v>0.25</v>
      </c>
      <c r="D14" s="30" t="n"/>
    </row>
    <row r="15"/>
    <row r="16" ht="22" customHeight="1">
      <c r="A16" s="4" t="inlineStr">
        <is>
          <t>二、模拟路径（前10条）</t>
        </is>
      </c>
    </row>
    <row r="17">
      <c r="A17" s="5" t="inlineStr">
        <is>
          <t>时间</t>
        </is>
      </c>
      <c r="B17" s="5" t="inlineStr">
        <is>
          <t>路径1</t>
        </is>
      </c>
      <c r="C17" s="5" t="inlineStr">
        <is>
          <t>路径2</t>
        </is>
      </c>
      <c r="D17" s="5" t="inlineStr">
        <is>
          <t>路径3</t>
        </is>
      </c>
      <c r="E17" s="5" t="inlineStr">
        <is>
          <t>路径4</t>
        </is>
      </c>
      <c r="F17" s="5" t="inlineStr">
        <is>
          <t>路径5</t>
        </is>
      </c>
      <c r="G17" s="5" t="inlineStr">
        <is>
          <t>注</t>
        </is>
      </c>
    </row>
    <row r="18">
      <c r="A18" s="51" t="n">
        <v>0</v>
      </c>
      <c r="B18" s="50">
        <f>$C$8</f>
        <v/>
      </c>
      <c r="C18" s="50">
        <f>$C$8</f>
        <v/>
      </c>
      <c r="D18" s="50">
        <f>$C$8</f>
        <v/>
      </c>
      <c r="E18" s="50">
        <f>$C$8</f>
        <v/>
      </c>
      <c r="F18" s="50">
        <f>$C$8</f>
        <v/>
      </c>
    </row>
    <row r="19">
      <c r="A19" s="51" t="n">
        <v>0.25</v>
      </c>
      <c r="B19" s="16">
        <f>B18+(($C$11-B18)*$C$9-$C$10*$B18)*$C$14+$C$10*SQRT($C$14)*NORM.S.INV(RAND())</f>
        <v/>
      </c>
      <c r="C19" s="16">
        <f>B18+(($C$11-B18)*$C$9-$C$10*$B18)*$C$14+$C$10*SQRT($C$14)*NORM.S.INV(RAND())</f>
        <v/>
      </c>
      <c r="D19" s="16">
        <f>B18+(($C$11-B18)*$C$9-$C$10*$B18)*$C$14+$C$10*SQRT($C$14)*NORM.S.INV(RAND())</f>
        <v/>
      </c>
      <c r="E19" s="16">
        <f>B18+(($C$11-B18)*$C$9-$C$10*$B18)*$C$14+$C$10*SQRT($C$14)*NORM.S.INV(RAND())</f>
        <v/>
      </c>
      <c r="F19" s="16">
        <f>B18+(($C$11-B18)*$C$9-$C$10*$B18)*$C$14+$C$10*SQRT($C$14)*NORM.S.INV(RAND())</f>
        <v/>
      </c>
    </row>
    <row r="20">
      <c r="A20" s="51" t="n">
        <v>0.5</v>
      </c>
      <c r="B20" s="16">
        <f>B19+(($C$11-B19)*$C$9-$C$10*$B19)*$C$14+$C$10*SQRT($C$14)*NORM.S.INV(RAND())</f>
        <v/>
      </c>
      <c r="C20" s="16">
        <f>B19+(($C$11-B19)*$C$9-$C$10*$B19)*$C$14+$C$10*SQRT($C$14)*NORM.S.INV(RAND())</f>
        <v/>
      </c>
      <c r="D20" s="16">
        <f>B19+(($C$11-B19)*$C$9-$C$10*$B19)*$C$14+$C$10*SQRT($C$14)*NORM.S.INV(RAND())</f>
        <v/>
      </c>
      <c r="E20" s="16">
        <f>B19+(($C$11-B19)*$C$9-$C$10*$B19)*$C$14+$C$10*SQRT($C$14)*NORM.S.INV(RAND())</f>
        <v/>
      </c>
      <c r="F20" s="16">
        <f>B19+(($C$11-B19)*$C$9-$C$10*$B19)*$C$14+$C$10*SQRT($C$14)*NORM.S.INV(RAND())</f>
        <v/>
      </c>
    </row>
    <row r="21">
      <c r="A21" s="51" t="n">
        <v>0.75</v>
      </c>
      <c r="B21" s="16">
        <f>B20+(($C$11-B20)*$C$9-$C$10*$B20)*$C$14+$C$10*SQRT($C$14)*NORM.S.INV(RAND())</f>
        <v/>
      </c>
      <c r="C21" s="16">
        <f>B20+(($C$11-B20)*$C$9-$C$10*$B20)*$C$14+$C$10*SQRT($C$14)*NORM.S.INV(RAND())</f>
        <v/>
      </c>
      <c r="D21" s="16">
        <f>B20+(($C$11-B20)*$C$9-$C$10*$B20)*$C$14+$C$10*SQRT($C$14)*NORM.S.INV(RAND())</f>
        <v/>
      </c>
      <c r="E21" s="16">
        <f>B20+(($C$11-B20)*$C$9-$C$10*$B20)*$C$14+$C$10*SQRT($C$14)*NORM.S.INV(RAND())</f>
        <v/>
      </c>
      <c r="F21" s="16">
        <f>B20+(($C$11-B20)*$C$9-$C$10*$B20)*$C$14+$C$10*SQRT($C$14)*NORM.S.INV(RAND())</f>
        <v/>
      </c>
    </row>
    <row r="22">
      <c r="A22" s="51" t="n">
        <v>1</v>
      </c>
      <c r="B22" s="16">
        <f>B21+(($C$11-B21)*$C$9-$C$10*$B21)*$C$14+$C$10*SQRT($C$14)*NORM.S.INV(RAND())</f>
        <v/>
      </c>
      <c r="C22" s="16">
        <f>B21+(($C$11-B21)*$C$9-$C$10*$B21)*$C$14+$C$10*SQRT($C$14)*NORM.S.INV(RAND())</f>
        <v/>
      </c>
      <c r="D22" s="16">
        <f>B21+(($C$11-B21)*$C$9-$C$10*$B21)*$C$14+$C$10*SQRT($C$14)*NORM.S.INV(RAND())</f>
        <v/>
      </c>
      <c r="E22" s="16">
        <f>B21+(($C$11-B21)*$C$9-$C$10*$B21)*$C$14+$C$10*SQRT($C$14)*NORM.S.INV(RAND())</f>
        <v/>
      </c>
      <c r="F22" s="16">
        <f>B21+(($C$11-B21)*$C$9-$C$10*$B21)*$C$14+$C$10*SQRT($C$14)*NORM.S.INV(RAND())</f>
        <v/>
      </c>
    </row>
    <row r="23">
      <c r="A23" s="51" t="n">
        <v>1.25</v>
      </c>
      <c r="B23" s="16">
        <f>B22+(($C$11-B22)*$C$9-$C$10*$B22)*$C$14+$C$10*SQRT($C$14)*NORM.S.INV(RAND())</f>
        <v/>
      </c>
      <c r="C23" s="16">
        <f>B22+(($C$11-B22)*$C$9-$C$10*$B22)*$C$14+$C$10*SQRT($C$14)*NORM.S.INV(RAND())</f>
        <v/>
      </c>
      <c r="D23" s="16">
        <f>B22+(($C$11-B22)*$C$9-$C$10*$B22)*$C$14+$C$10*SQRT($C$14)*NORM.S.INV(RAND())</f>
        <v/>
      </c>
      <c r="E23" s="16">
        <f>B22+(($C$11-B22)*$C$9-$C$10*$B22)*$C$14+$C$10*SQRT($C$14)*NORM.S.INV(RAND())</f>
        <v/>
      </c>
      <c r="F23" s="16">
        <f>B22+(($C$11-B22)*$C$9-$C$10*$B22)*$C$14+$C$10*SQRT($C$14)*NORM.S.INV(RAND())</f>
        <v/>
      </c>
    </row>
    <row r="24">
      <c r="A24" s="51" t="n">
        <v>1.5</v>
      </c>
      <c r="B24" s="16">
        <f>B23+(($C$11-B23)*$C$9-$C$10*$B23)*$C$14+$C$10*SQRT($C$14)*NORM.S.INV(RAND())</f>
        <v/>
      </c>
      <c r="C24" s="16">
        <f>B23+(($C$11-B23)*$C$9-$C$10*$B23)*$C$14+$C$10*SQRT($C$14)*NORM.S.INV(RAND())</f>
        <v/>
      </c>
      <c r="D24" s="16">
        <f>B23+(($C$11-B23)*$C$9-$C$10*$B23)*$C$14+$C$10*SQRT($C$14)*NORM.S.INV(RAND())</f>
        <v/>
      </c>
      <c r="E24" s="16">
        <f>B23+(($C$11-B23)*$C$9-$C$10*$B23)*$C$14+$C$10*SQRT($C$14)*NORM.S.INV(RAND())</f>
        <v/>
      </c>
      <c r="F24" s="16">
        <f>B23+(($C$11-B23)*$C$9-$C$10*$B23)*$C$14+$C$10*SQRT($C$14)*NORM.S.INV(RAND())</f>
        <v/>
      </c>
    </row>
    <row r="25">
      <c r="A25" s="51" t="n">
        <v>1.75</v>
      </c>
      <c r="B25" s="16">
        <f>B24+(($C$11-B24)*$C$9-$C$10*$B24)*$C$14+$C$10*SQRT($C$14)*NORM.S.INV(RAND())</f>
        <v/>
      </c>
      <c r="C25" s="16">
        <f>B24+(($C$11-B24)*$C$9-$C$10*$B24)*$C$14+$C$10*SQRT($C$14)*NORM.S.INV(RAND())</f>
        <v/>
      </c>
      <c r="D25" s="16">
        <f>B24+(($C$11-B24)*$C$9-$C$10*$B24)*$C$14+$C$10*SQRT($C$14)*NORM.S.INV(RAND())</f>
        <v/>
      </c>
      <c r="E25" s="16">
        <f>B24+(($C$11-B24)*$C$9-$C$10*$B24)*$C$14+$C$10*SQRT($C$14)*NORM.S.INV(RAND())</f>
        <v/>
      </c>
      <c r="F25" s="16">
        <f>B24+(($C$11-B24)*$C$9-$C$10*$B24)*$C$14+$C$10*SQRT($C$14)*NORM.S.INV(RAND())</f>
        <v/>
      </c>
    </row>
    <row r="26">
      <c r="A26" s="51" t="n">
        <v>2</v>
      </c>
      <c r="B26" s="16">
        <f>B25+(($C$11-B25)*$C$9-$C$10*$B25)*$C$14+$C$10*SQRT($C$14)*NORM.S.INV(RAND())</f>
        <v/>
      </c>
      <c r="C26" s="16">
        <f>B25+(($C$11-B25)*$C$9-$C$10*$B25)*$C$14+$C$10*SQRT($C$14)*NORM.S.INV(RAND())</f>
        <v/>
      </c>
      <c r="D26" s="16">
        <f>B25+(($C$11-B25)*$C$9-$C$10*$B25)*$C$14+$C$10*SQRT($C$14)*NORM.S.INV(RAND())</f>
        <v/>
      </c>
      <c r="E26" s="16">
        <f>B25+(($C$11-B25)*$C$9-$C$10*$B25)*$C$14+$C$10*SQRT($C$14)*NORM.S.INV(RAND())</f>
        <v/>
      </c>
      <c r="F26" s="16">
        <f>B25+(($C$11-B25)*$C$9-$C$10*$B25)*$C$14+$C$10*SQRT($C$14)*NORM.S.INV(RAND())</f>
        <v/>
      </c>
    </row>
    <row r="27">
      <c r="A27" s="51" t="n">
        <v>2.25</v>
      </c>
      <c r="B27" s="16">
        <f>B26+(($C$11-B26)*$C$9-$C$10*$B26)*$C$14+$C$10*SQRT($C$14)*NORM.S.INV(RAND())</f>
        <v/>
      </c>
      <c r="C27" s="16">
        <f>B26+(($C$11-B26)*$C$9-$C$10*$B26)*$C$14+$C$10*SQRT($C$14)*NORM.S.INV(RAND())</f>
        <v/>
      </c>
      <c r="D27" s="16">
        <f>B26+(($C$11-B26)*$C$9-$C$10*$B26)*$C$14+$C$10*SQRT($C$14)*NORM.S.INV(RAND())</f>
        <v/>
      </c>
      <c r="E27" s="16">
        <f>B26+(($C$11-B26)*$C$9-$C$10*$B26)*$C$14+$C$10*SQRT($C$14)*NORM.S.INV(RAND())</f>
        <v/>
      </c>
      <c r="F27" s="16">
        <f>B26+(($C$11-B26)*$C$9-$C$10*$B26)*$C$14+$C$10*SQRT($C$14)*NORM.S.INV(RAND())</f>
        <v/>
      </c>
    </row>
    <row r="28">
      <c r="A28" s="51" t="n">
        <v>2.5</v>
      </c>
      <c r="B28" s="16">
        <f>B27+(($C$11-B27)*$C$9-$C$10*$B27)*$C$14+$C$10*SQRT($C$14)*NORM.S.INV(RAND())</f>
        <v/>
      </c>
      <c r="C28" s="16">
        <f>B27+(($C$11-B27)*$C$9-$C$10*$B27)*$C$14+$C$10*SQRT($C$14)*NORM.S.INV(RAND())</f>
        <v/>
      </c>
      <c r="D28" s="16">
        <f>B27+(($C$11-B27)*$C$9-$C$10*$B27)*$C$14+$C$10*SQRT($C$14)*NORM.S.INV(RAND())</f>
        <v/>
      </c>
      <c r="E28" s="16">
        <f>B27+(($C$11-B27)*$C$9-$C$10*$B27)*$C$14+$C$10*SQRT($C$14)*NORM.S.INV(RAND())</f>
        <v/>
      </c>
      <c r="F28" s="16">
        <f>B27+(($C$11-B27)*$C$9-$C$10*$B27)*$C$14+$C$10*SQRT($C$14)*NORM.S.INV(RAND())</f>
        <v/>
      </c>
    </row>
    <row r="29">
      <c r="A29" s="51" t="n">
        <v>2.75</v>
      </c>
      <c r="B29" s="16">
        <f>B28+(($C$11-B28)*$C$9-$C$10*$B28)*$C$14+$C$10*SQRT($C$14)*NORM.S.INV(RAND())</f>
        <v/>
      </c>
      <c r="C29" s="16">
        <f>B28+(($C$11-B28)*$C$9-$C$10*$B28)*$C$14+$C$10*SQRT($C$14)*NORM.S.INV(RAND())</f>
        <v/>
      </c>
      <c r="D29" s="16">
        <f>B28+(($C$11-B28)*$C$9-$C$10*$B28)*$C$14+$C$10*SQRT($C$14)*NORM.S.INV(RAND())</f>
        <v/>
      </c>
      <c r="E29" s="16">
        <f>B28+(($C$11-B28)*$C$9-$C$10*$B28)*$C$14+$C$10*SQRT($C$14)*NORM.S.INV(RAND())</f>
        <v/>
      </c>
      <c r="F29" s="16">
        <f>B28+(($C$11-B28)*$C$9-$C$10*$B28)*$C$14+$C$10*SQRT($C$14)*NORM.S.INV(RAND())</f>
        <v/>
      </c>
    </row>
    <row r="30">
      <c r="A30" s="51" t="n">
        <v>3</v>
      </c>
      <c r="B30" s="16">
        <f>B29+(($C$11-B29)*$C$9-$C$10*$B29)*$C$14+$C$10*SQRT($C$14)*NORM.S.INV(RAND())</f>
        <v/>
      </c>
      <c r="C30" s="16">
        <f>B29+(($C$11-B29)*$C$9-$C$10*$B29)*$C$14+$C$10*SQRT($C$14)*NORM.S.INV(RAND())</f>
        <v/>
      </c>
      <c r="D30" s="16">
        <f>B29+(($C$11-B29)*$C$9-$C$10*$B29)*$C$14+$C$10*SQRT($C$14)*NORM.S.INV(RAND())</f>
        <v/>
      </c>
      <c r="E30" s="16">
        <f>B29+(($C$11-B29)*$C$9-$C$10*$B29)*$C$14+$C$10*SQRT($C$14)*NORM.S.INV(RAND())</f>
        <v/>
      </c>
      <c r="F30" s="16">
        <f>B29+(($C$11-B29)*$C$9-$C$10*$B29)*$C$14+$C$10*SQRT($C$14)*NORM.S.INV(RAND())</f>
        <v/>
      </c>
    </row>
    <row r="31">
      <c r="A31" s="51" t="n">
        <v>3.25</v>
      </c>
      <c r="B31" s="16">
        <f>B30+(($C$11-B30)*$C$9-$C$10*$B30)*$C$14+$C$10*SQRT($C$14)*NORM.S.INV(RAND())</f>
        <v/>
      </c>
      <c r="C31" s="16">
        <f>B30+(($C$11-B30)*$C$9-$C$10*$B30)*$C$14+$C$10*SQRT($C$14)*NORM.S.INV(RAND())</f>
        <v/>
      </c>
      <c r="D31" s="16">
        <f>B30+(($C$11-B30)*$C$9-$C$10*$B30)*$C$14+$C$10*SQRT($C$14)*NORM.S.INV(RAND())</f>
        <v/>
      </c>
      <c r="E31" s="16">
        <f>B30+(($C$11-B30)*$C$9-$C$10*$B30)*$C$14+$C$10*SQRT($C$14)*NORM.S.INV(RAND())</f>
        <v/>
      </c>
      <c r="F31" s="16">
        <f>B30+(($C$11-B30)*$C$9-$C$10*$B30)*$C$14+$C$10*SQRT($C$14)*NORM.S.INV(RAND())</f>
        <v/>
      </c>
    </row>
    <row r="32">
      <c r="A32" s="51" t="n">
        <v>3.5</v>
      </c>
      <c r="B32" s="16">
        <f>B31+(($C$11-B31)*$C$9-$C$10*$B31)*$C$14+$C$10*SQRT($C$14)*NORM.S.INV(RAND())</f>
        <v/>
      </c>
      <c r="C32" s="16">
        <f>B31+(($C$11-B31)*$C$9-$C$10*$B31)*$C$14+$C$10*SQRT($C$14)*NORM.S.INV(RAND())</f>
        <v/>
      </c>
      <c r="D32" s="16">
        <f>B31+(($C$11-B31)*$C$9-$C$10*$B31)*$C$14+$C$10*SQRT($C$14)*NORM.S.INV(RAND())</f>
        <v/>
      </c>
      <c r="E32" s="16">
        <f>B31+(($C$11-B31)*$C$9-$C$10*$B31)*$C$14+$C$10*SQRT($C$14)*NORM.S.INV(RAND())</f>
        <v/>
      </c>
      <c r="F32" s="16">
        <f>B31+(($C$11-B31)*$C$9-$C$10*$B31)*$C$14+$C$10*SQRT($C$14)*NORM.S.INV(RAND())</f>
        <v/>
      </c>
    </row>
    <row r="33">
      <c r="A33" s="51" t="n">
        <v>3.75</v>
      </c>
      <c r="B33" s="16">
        <f>B32+(($C$11-B32)*$C$9-$C$10*$B32)*$C$14+$C$10*SQRT($C$14)*NORM.S.INV(RAND())</f>
        <v/>
      </c>
      <c r="C33" s="16">
        <f>B32+(($C$11-B32)*$C$9-$C$10*$B32)*$C$14+$C$10*SQRT($C$14)*NORM.S.INV(RAND())</f>
        <v/>
      </c>
      <c r="D33" s="16">
        <f>B32+(($C$11-B32)*$C$9-$C$10*$B32)*$C$14+$C$10*SQRT($C$14)*NORM.S.INV(RAND())</f>
        <v/>
      </c>
      <c r="E33" s="16">
        <f>B32+(($C$11-B32)*$C$9-$C$10*$B32)*$C$14+$C$10*SQRT($C$14)*NORM.S.INV(RAND())</f>
        <v/>
      </c>
      <c r="F33" s="16">
        <f>B32+(($C$11-B32)*$C$9-$C$10*$B32)*$C$14+$C$10*SQRT($C$14)*NORM.S.INV(RAND())</f>
        <v/>
      </c>
    </row>
    <row r="34">
      <c r="A34" s="51" t="n">
        <v>4</v>
      </c>
      <c r="B34" s="16">
        <f>B33+(($C$11-B33)*$C$9-$C$10*$B33)*$C$14+$C$10*SQRT($C$14)*NORM.S.INV(RAND())</f>
        <v/>
      </c>
      <c r="C34" s="16">
        <f>B33+(($C$11-B33)*$C$9-$C$10*$B33)*$C$14+$C$10*SQRT($C$14)*NORM.S.INV(RAND())</f>
        <v/>
      </c>
      <c r="D34" s="16">
        <f>B33+(($C$11-B33)*$C$9-$C$10*$B33)*$C$14+$C$10*SQRT($C$14)*NORM.S.INV(RAND())</f>
        <v/>
      </c>
      <c r="E34" s="16">
        <f>B33+(($C$11-B33)*$C$9-$C$10*$B33)*$C$14+$C$10*SQRT($C$14)*NORM.S.INV(RAND())</f>
        <v/>
      </c>
      <c r="F34" s="16">
        <f>B33+(($C$11-B33)*$C$9-$C$10*$B33)*$C$14+$C$10*SQRT($C$14)*NORM.S.INV(RAND())</f>
        <v/>
      </c>
    </row>
    <row r="35">
      <c r="A35" s="51" t="n">
        <v>4.25</v>
      </c>
      <c r="B35" s="16">
        <f>B34+(($C$11-B34)*$C$9-$C$10*$B34)*$C$14+$C$10*SQRT($C$14)*NORM.S.INV(RAND())</f>
        <v/>
      </c>
      <c r="C35" s="16">
        <f>B34+(($C$11-B34)*$C$9-$C$10*$B34)*$C$14+$C$10*SQRT($C$14)*NORM.S.INV(RAND())</f>
        <v/>
      </c>
      <c r="D35" s="16">
        <f>B34+(($C$11-B34)*$C$9-$C$10*$B34)*$C$14+$C$10*SQRT($C$14)*NORM.S.INV(RAND())</f>
        <v/>
      </c>
      <c r="E35" s="16">
        <f>B34+(($C$11-B34)*$C$9-$C$10*$B34)*$C$14+$C$10*SQRT($C$14)*NORM.S.INV(RAND())</f>
        <v/>
      </c>
      <c r="F35" s="16">
        <f>B34+(($C$11-B34)*$C$9-$C$10*$B34)*$C$14+$C$10*SQRT($C$14)*NORM.S.INV(RAND())</f>
        <v/>
      </c>
    </row>
    <row r="36">
      <c r="A36" s="51" t="n">
        <v>4.5</v>
      </c>
      <c r="B36" s="16">
        <f>B35+(($C$11-B35)*$C$9-$C$10*$B35)*$C$14+$C$10*SQRT($C$14)*NORM.S.INV(RAND())</f>
        <v/>
      </c>
      <c r="C36" s="16">
        <f>B35+(($C$11-B35)*$C$9-$C$10*$B35)*$C$14+$C$10*SQRT($C$14)*NORM.S.INV(RAND())</f>
        <v/>
      </c>
      <c r="D36" s="16">
        <f>B35+(($C$11-B35)*$C$9-$C$10*$B35)*$C$14+$C$10*SQRT($C$14)*NORM.S.INV(RAND())</f>
        <v/>
      </c>
      <c r="E36" s="16">
        <f>B35+(($C$11-B35)*$C$9-$C$10*$B35)*$C$14+$C$10*SQRT($C$14)*NORM.S.INV(RAND())</f>
        <v/>
      </c>
      <c r="F36" s="16">
        <f>B35+(($C$11-B35)*$C$9-$C$10*$B35)*$C$14+$C$10*SQRT($C$14)*NORM.S.INV(RAND())</f>
        <v/>
      </c>
    </row>
    <row r="37">
      <c r="A37" s="51" t="n">
        <v>4.75</v>
      </c>
      <c r="B37" s="16">
        <f>B36+(($C$11-B36)*$C$9-$C$10*$B36)*$C$14+$C$10*SQRT($C$14)*NORM.S.INV(RAND())</f>
        <v/>
      </c>
      <c r="C37" s="16">
        <f>B36+(($C$11-B36)*$C$9-$C$10*$B36)*$C$14+$C$10*SQRT($C$14)*NORM.S.INV(RAND())</f>
        <v/>
      </c>
      <c r="D37" s="16">
        <f>B36+(($C$11-B36)*$C$9-$C$10*$B36)*$C$14+$C$10*SQRT($C$14)*NORM.S.INV(RAND())</f>
        <v/>
      </c>
      <c r="E37" s="16">
        <f>B36+(($C$11-B36)*$C$9-$C$10*$B36)*$C$14+$C$10*SQRT($C$14)*NORM.S.INV(RAND())</f>
        <v/>
      </c>
      <c r="F37" s="16">
        <f>B36+(($C$11-B36)*$C$9-$C$10*$B36)*$C$14+$C$10*SQRT($C$14)*NORM.S.INV(RAND())</f>
        <v/>
      </c>
    </row>
    <row r="38">
      <c r="A38" s="51" t="n">
        <v>5</v>
      </c>
      <c r="B38" s="16">
        <f>B37+(($C$11-B37)*$C$9-$C$10*$B37)*$C$14+$C$10*SQRT($C$14)*NORM.S.INV(RAND())</f>
        <v/>
      </c>
      <c r="C38" s="16">
        <f>B37+(($C$11-B37)*$C$9-$C$10*$B37)*$C$14+$C$10*SQRT($C$14)*NORM.S.INV(RAND())</f>
        <v/>
      </c>
      <c r="D38" s="16">
        <f>B37+(($C$11-B37)*$C$9-$C$10*$B37)*$C$14+$C$10*SQRT($C$14)*NORM.S.INV(RAND())</f>
        <v/>
      </c>
      <c r="E38" s="16">
        <f>B37+(($C$11-B37)*$C$9-$C$10*$B37)*$C$14+$C$10*SQRT($C$14)*NORM.S.INV(RAND())</f>
        <v/>
      </c>
      <c r="F38" s="16">
        <f>B37+(($C$11-B37)*$C$9-$C$10*$B37)*$C$14+$C$10*SQRT($C$14)*NORM.S.INV(RAND())</f>
        <v/>
      </c>
    </row>
    <row r="39">
      <c r="A39" s="52" t="inlineStr">
        <is>
          <t>注：示例为前5条路径，实际模拟100条路径需扩展列</t>
        </is>
      </c>
    </row>
    <row r="40"/>
    <row r="41" ht="22" customHeight="1">
      <c r="A41" s="4" t="inlineStr">
        <is>
          <t>三、统计结果</t>
        </is>
      </c>
    </row>
    <row r="42">
      <c r="A42" s="5" t="inlineStr">
        <is>
          <t>时间</t>
        </is>
      </c>
      <c r="B42" s="5" t="inlineStr">
        <is>
          <t>均值</t>
        </is>
      </c>
      <c r="C42" s="5" t="inlineStr">
        <is>
          <t>标准差</t>
        </is>
      </c>
      <c r="D42" s="5" t="inlineStr">
        <is>
          <t>5%分位</t>
        </is>
      </c>
      <c r="E42" s="5" t="inlineStr">
        <is>
          <t>95%分位</t>
        </is>
      </c>
      <c r="F42" s="5" t="inlineStr">
        <is>
          <t>最大</t>
        </is>
      </c>
      <c r="G42" s="5" t="inlineStr">
        <is>
          <t>最小</t>
        </is>
      </c>
    </row>
    <row r="43">
      <c r="A43" s="51" t="n">
        <v>0</v>
      </c>
      <c r="B43" s="16">
        <f>$C$10+(($C$8-$C$10)*EXP(-$C$9*A43))</f>
        <v/>
      </c>
      <c r="C43" s="53">
        <f>$C$10*SQRT((1-EXP(-2*$C$9*A43))/(2*$C$9))</f>
        <v/>
      </c>
      <c r="D43" s="16">
        <f>B43-1.645*C43</f>
        <v/>
      </c>
      <c r="E43" s="16">
        <f>B43+1.645*C43</f>
        <v/>
      </c>
      <c r="F43" s="16">
        <f>B43+3*C43</f>
        <v/>
      </c>
      <c r="G43" s="16">
        <f>B43-3*C43</f>
        <v/>
      </c>
    </row>
    <row r="44">
      <c r="A44" s="51" t="n">
        <v>0.25</v>
      </c>
      <c r="B44" s="16">
        <f>$C$10+(($C$8-$C$10)*EXP(-$C$9*A44))</f>
        <v/>
      </c>
      <c r="C44" s="53">
        <f>$C$10*SQRT((1-EXP(-2*$C$9*A44))/(2*$C$9))</f>
        <v/>
      </c>
      <c r="D44" s="16">
        <f>B44-1.645*C44</f>
        <v/>
      </c>
      <c r="E44" s="16">
        <f>B44+1.645*C44</f>
        <v/>
      </c>
      <c r="F44" s="16">
        <f>B44+3*C44</f>
        <v/>
      </c>
      <c r="G44" s="16">
        <f>B44-3*C44</f>
        <v/>
      </c>
    </row>
    <row r="45">
      <c r="A45" s="51" t="n">
        <v>0.5</v>
      </c>
      <c r="B45" s="16">
        <f>$C$10+(($C$8-$C$10)*EXP(-$C$9*A45))</f>
        <v/>
      </c>
      <c r="C45" s="53">
        <f>$C$10*SQRT((1-EXP(-2*$C$9*A45))/(2*$C$9))</f>
        <v/>
      </c>
      <c r="D45" s="16">
        <f>B45-1.645*C45</f>
        <v/>
      </c>
      <c r="E45" s="16">
        <f>B45+1.645*C45</f>
        <v/>
      </c>
      <c r="F45" s="16">
        <f>B45+3*C45</f>
        <v/>
      </c>
      <c r="G45" s="16">
        <f>B45-3*C45</f>
        <v/>
      </c>
    </row>
    <row r="46">
      <c r="A46" s="51" t="n">
        <v>0.75</v>
      </c>
      <c r="B46" s="16">
        <f>$C$10+(($C$8-$C$10)*EXP(-$C$9*A46))</f>
        <v/>
      </c>
      <c r="C46" s="53">
        <f>$C$10*SQRT((1-EXP(-2*$C$9*A46))/(2*$C$9))</f>
        <v/>
      </c>
      <c r="D46" s="16">
        <f>B46-1.645*C46</f>
        <v/>
      </c>
      <c r="E46" s="16">
        <f>B46+1.645*C46</f>
        <v/>
      </c>
      <c r="F46" s="16">
        <f>B46+3*C46</f>
        <v/>
      </c>
      <c r="G46" s="16">
        <f>B46-3*C46</f>
        <v/>
      </c>
    </row>
    <row r="47">
      <c r="A47" s="51" t="n">
        <v>1</v>
      </c>
      <c r="B47" s="16">
        <f>$C$10+(($C$8-$C$10)*EXP(-$C$9*A47))</f>
        <v/>
      </c>
      <c r="C47" s="53">
        <f>$C$10*SQRT((1-EXP(-2*$C$9*A47))/(2*$C$9))</f>
        <v/>
      </c>
      <c r="D47" s="16">
        <f>B47-1.645*C47</f>
        <v/>
      </c>
      <c r="E47" s="16">
        <f>B47+1.645*C47</f>
        <v/>
      </c>
      <c r="F47" s="16">
        <f>B47+3*C47</f>
        <v/>
      </c>
      <c r="G47" s="16">
        <f>B47-3*C47</f>
        <v/>
      </c>
    </row>
    <row r="48">
      <c r="A48" s="51" t="n">
        <v>1.25</v>
      </c>
      <c r="B48" s="16">
        <f>$C$10+(($C$8-$C$10)*EXP(-$C$9*A48))</f>
        <v/>
      </c>
      <c r="C48" s="53">
        <f>$C$10*SQRT((1-EXP(-2*$C$9*A48))/(2*$C$9))</f>
        <v/>
      </c>
      <c r="D48" s="16">
        <f>B48-1.645*C48</f>
        <v/>
      </c>
      <c r="E48" s="16">
        <f>B48+1.645*C48</f>
        <v/>
      </c>
      <c r="F48" s="16">
        <f>B48+3*C48</f>
        <v/>
      </c>
      <c r="G48" s="16">
        <f>B48-3*C48</f>
        <v/>
      </c>
    </row>
    <row r="49">
      <c r="A49" s="51" t="n">
        <v>1.5</v>
      </c>
      <c r="B49" s="16">
        <f>$C$10+(($C$8-$C$10)*EXP(-$C$9*A49))</f>
        <v/>
      </c>
      <c r="C49" s="53">
        <f>$C$10*SQRT((1-EXP(-2*$C$9*A49))/(2*$C$9))</f>
        <v/>
      </c>
      <c r="D49" s="16">
        <f>B49-1.645*C49</f>
        <v/>
      </c>
      <c r="E49" s="16">
        <f>B49+1.645*C49</f>
        <v/>
      </c>
      <c r="F49" s="16">
        <f>B49+3*C49</f>
        <v/>
      </c>
      <c r="G49" s="16">
        <f>B49-3*C49</f>
        <v/>
      </c>
    </row>
    <row r="50">
      <c r="A50" s="51" t="n">
        <v>1.75</v>
      </c>
      <c r="B50" s="16">
        <f>$C$10+(($C$8-$C$10)*EXP(-$C$9*A50))</f>
        <v/>
      </c>
      <c r="C50" s="53">
        <f>$C$10*SQRT((1-EXP(-2*$C$9*A50))/(2*$C$9))</f>
        <v/>
      </c>
      <c r="D50" s="16">
        <f>B50-1.645*C50</f>
        <v/>
      </c>
      <c r="E50" s="16">
        <f>B50+1.645*C50</f>
        <v/>
      </c>
      <c r="F50" s="16">
        <f>B50+3*C50</f>
        <v/>
      </c>
      <c r="G50" s="16">
        <f>B50-3*C50</f>
        <v/>
      </c>
    </row>
    <row r="51">
      <c r="A51" s="51" t="n">
        <v>2</v>
      </c>
      <c r="B51" s="16">
        <f>$C$10+(($C$8-$C$10)*EXP(-$C$9*A51))</f>
        <v/>
      </c>
      <c r="C51" s="53">
        <f>$C$10*SQRT((1-EXP(-2*$C$9*A51))/(2*$C$9))</f>
        <v/>
      </c>
      <c r="D51" s="16">
        <f>B51-1.645*C51</f>
        <v/>
      </c>
      <c r="E51" s="16">
        <f>B51+1.645*C51</f>
        <v/>
      </c>
      <c r="F51" s="16">
        <f>B51+3*C51</f>
        <v/>
      </c>
      <c r="G51" s="16">
        <f>B51-3*C51</f>
        <v/>
      </c>
    </row>
    <row r="52">
      <c r="A52" s="51" t="n">
        <v>2.25</v>
      </c>
      <c r="B52" s="16">
        <f>$C$10+(($C$8-$C$10)*EXP(-$C$9*A52))</f>
        <v/>
      </c>
      <c r="C52" s="53">
        <f>$C$10*SQRT((1-EXP(-2*$C$9*A52))/(2*$C$9))</f>
        <v/>
      </c>
      <c r="D52" s="16">
        <f>B52-1.645*C52</f>
        <v/>
      </c>
      <c r="E52" s="16">
        <f>B52+1.645*C52</f>
        <v/>
      </c>
      <c r="F52" s="16">
        <f>B52+3*C52</f>
        <v/>
      </c>
      <c r="G52" s="16">
        <f>B52-3*C52</f>
        <v/>
      </c>
    </row>
    <row r="53">
      <c r="A53" s="51" t="n">
        <v>2.5</v>
      </c>
      <c r="B53" s="16">
        <f>$C$10+(($C$8-$C$10)*EXP(-$C$9*A53))</f>
        <v/>
      </c>
      <c r="C53" s="53">
        <f>$C$10*SQRT((1-EXP(-2*$C$9*A53))/(2*$C$9))</f>
        <v/>
      </c>
      <c r="D53" s="16">
        <f>B53-1.645*C53</f>
        <v/>
      </c>
      <c r="E53" s="16">
        <f>B53+1.645*C53</f>
        <v/>
      </c>
      <c r="F53" s="16">
        <f>B53+3*C53</f>
        <v/>
      </c>
      <c r="G53" s="16">
        <f>B53-3*C53</f>
        <v/>
      </c>
    </row>
    <row r="54">
      <c r="A54" s="51" t="n">
        <v>2.75</v>
      </c>
      <c r="B54" s="16">
        <f>$C$10+(($C$8-$C$10)*EXP(-$C$9*A54))</f>
        <v/>
      </c>
      <c r="C54" s="53">
        <f>$C$10*SQRT((1-EXP(-2*$C$9*A54))/(2*$C$9))</f>
        <v/>
      </c>
      <c r="D54" s="16">
        <f>B54-1.645*C54</f>
        <v/>
      </c>
      <c r="E54" s="16">
        <f>B54+1.645*C54</f>
        <v/>
      </c>
      <c r="F54" s="16">
        <f>B54+3*C54</f>
        <v/>
      </c>
      <c r="G54" s="16">
        <f>B54-3*C54</f>
        <v/>
      </c>
    </row>
    <row r="55">
      <c r="A55" s="51" t="n">
        <v>3</v>
      </c>
      <c r="B55" s="16">
        <f>$C$10+(($C$8-$C$10)*EXP(-$C$9*A55))</f>
        <v/>
      </c>
      <c r="C55" s="53">
        <f>$C$10*SQRT((1-EXP(-2*$C$9*A55))/(2*$C$9))</f>
        <v/>
      </c>
      <c r="D55" s="16">
        <f>B55-1.645*C55</f>
        <v/>
      </c>
      <c r="E55" s="16">
        <f>B55+1.645*C55</f>
        <v/>
      </c>
      <c r="F55" s="16">
        <f>B55+3*C55</f>
        <v/>
      </c>
      <c r="G55" s="16">
        <f>B55-3*C55</f>
        <v/>
      </c>
    </row>
    <row r="56">
      <c r="A56" s="51" t="n">
        <v>3.25</v>
      </c>
      <c r="B56" s="16">
        <f>$C$10+(($C$8-$C$10)*EXP(-$C$9*A56))</f>
        <v/>
      </c>
      <c r="C56" s="53">
        <f>$C$10*SQRT((1-EXP(-2*$C$9*A56))/(2*$C$9))</f>
        <v/>
      </c>
      <c r="D56" s="16">
        <f>B56-1.645*C56</f>
        <v/>
      </c>
      <c r="E56" s="16">
        <f>B56+1.645*C56</f>
        <v/>
      </c>
      <c r="F56" s="16">
        <f>B56+3*C56</f>
        <v/>
      </c>
      <c r="G56" s="16">
        <f>B56-3*C56</f>
        <v/>
      </c>
    </row>
    <row r="57">
      <c r="A57" s="51" t="n">
        <v>3.5</v>
      </c>
      <c r="B57" s="16">
        <f>$C$10+(($C$8-$C$10)*EXP(-$C$9*A57))</f>
        <v/>
      </c>
      <c r="C57" s="53">
        <f>$C$10*SQRT((1-EXP(-2*$C$9*A57))/(2*$C$9))</f>
        <v/>
      </c>
      <c r="D57" s="16">
        <f>B57-1.645*C57</f>
        <v/>
      </c>
      <c r="E57" s="16">
        <f>B57+1.645*C57</f>
        <v/>
      </c>
      <c r="F57" s="16">
        <f>B57+3*C57</f>
        <v/>
      </c>
      <c r="G57" s="16">
        <f>B57-3*C57</f>
        <v/>
      </c>
    </row>
    <row r="58">
      <c r="A58" s="51" t="n">
        <v>3.75</v>
      </c>
      <c r="B58" s="16">
        <f>$C$10+(($C$8-$C$10)*EXP(-$C$9*A58))</f>
        <v/>
      </c>
      <c r="C58" s="53">
        <f>$C$10*SQRT((1-EXP(-2*$C$9*A58))/(2*$C$9))</f>
        <v/>
      </c>
      <c r="D58" s="16">
        <f>B58-1.645*C58</f>
        <v/>
      </c>
      <c r="E58" s="16">
        <f>B58+1.645*C58</f>
        <v/>
      </c>
      <c r="F58" s="16">
        <f>B58+3*C58</f>
        <v/>
      </c>
      <c r="G58" s="16">
        <f>B58-3*C58</f>
        <v/>
      </c>
    </row>
    <row r="59">
      <c r="A59" s="51" t="n">
        <v>4</v>
      </c>
      <c r="B59" s="16">
        <f>$C$10+(($C$8-$C$10)*EXP(-$C$9*A59))</f>
        <v/>
      </c>
      <c r="C59" s="53">
        <f>$C$10*SQRT((1-EXP(-2*$C$9*A59))/(2*$C$9))</f>
        <v/>
      </c>
      <c r="D59" s="16">
        <f>B59-1.645*C59</f>
        <v/>
      </c>
      <c r="E59" s="16">
        <f>B59+1.645*C59</f>
        <v/>
      </c>
      <c r="F59" s="16">
        <f>B59+3*C59</f>
        <v/>
      </c>
      <c r="G59" s="16">
        <f>B59-3*C59</f>
        <v/>
      </c>
    </row>
    <row r="60">
      <c r="A60" s="51" t="n">
        <v>4.25</v>
      </c>
      <c r="B60" s="16">
        <f>$C$10+(($C$8-$C$10)*EXP(-$C$9*A60))</f>
        <v/>
      </c>
      <c r="C60" s="53">
        <f>$C$10*SQRT((1-EXP(-2*$C$9*A60))/(2*$C$9))</f>
        <v/>
      </c>
      <c r="D60" s="16">
        <f>B60-1.645*C60</f>
        <v/>
      </c>
      <c r="E60" s="16">
        <f>B60+1.645*C60</f>
        <v/>
      </c>
      <c r="F60" s="16">
        <f>B60+3*C60</f>
        <v/>
      </c>
      <c r="G60" s="16">
        <f>B60-3*C60</f>
        <v/>
      </c>
    </row>
    <row r="61">
      <c r="A61" s="51" t="n">
        <v>4.5</v>
      </c>
      <c r="B61" s="16">
        <f>$C$10+(($C$8-$C$10)*EXP(-$C$9*A61))</f>
        <v/>
      </c>
      <c r="C61" s="53">
        <f>$C$10*SQRT((1-EXP(-2*$C$9*A61))/(2*$C$9))</f>
        <v/>
      </c>
      <c r="D61" s="16">
        <f>B61-1.645*C61</f>
        <v/>
      </c>
      <c r="E61" s="16">
        <f>B61+1.645*C61</f>
        <v/>
      </c>
      <c r="F61" s="16">
        <f>B61+3*C61</f>
        <v/>
      </c>
      <c r="G61" s="16">
        <f>B61-3*C61</f>
        <v/>
      </c>
    </row>
    <row r="62">
      <c r="A62" s="51" t="n">
        <v>4.75</v>
      </c>
      <c r="B62" s="16">
        <f>$C$10+(($C$8-$C$10)*EXP(-$C$9*A62))</f>
        <v/>
      </c>
      <c r="C62" s="53">
        <f>$C$10*SQRT((1-EXP(-2*$C$9*A62))/(2*$C$9))</f>
        <v/>
      </c>
      <c r="D62" s="16">
        <f>B62-1.645*C62</f>
        <v/>
      </c>
      <c r="E62" s="16">
        <f>B62+1.645*C62</f>
        <v/>
      </c>
      <c r="F62" s="16">
        <f>B62+3*C62</f>
        <v/>
      </c>
      <c r="G62" s="16">
        <f>B62-3*C62</f>
        <v/>
      </c>
    </row>
    <row r="63">
      <c r="A63" s="51" t="n">
        <v>5</v>
      </c>
      <c r="B63" s="16">
        <f>$C$10+(($C$8-$C$10)*EXP(-$C$9*A63))</f>
        <v/>
      </c>
      <c r="C63" s="53">
        <f>$C$10*SQRT((1-EXP(-2*$C$9*A63))/(2*$C$9))</f>
        <v/>
      </c>
      <c r="D63" s="16">
        <f>B63-1.645*C63</f>
        <v/>
      </c>
      <c r="E63" s="16">
        <f>B63+1.645*C63</f>
        <v/>
      </c>
      <c r="F63" s="16">
        <f>B63+3*C63</f>
        <v/>
      </c>
      <c r="G63" s="16">
        <f>B63-3*C63</f>
        <v/>
      </c>
    </row>
    <row r="64"/>
    <row r="65">
      <c r="A65" s="24" t="inlineStr">
        <is>
          <t>【解读说明】
1. Hull-White 模型是常用的一因子短期利率模型，可与初始期限结构拟合
2. 均值回归：利率长期会向 b 回归，回归速度由 a 控制
3. 5% / 95% 分位可用于 VaR / CVaR 计算
4. 蒙特卡洛模拟的随机性源于 RAND() 函数，每次重算（F9）会得到不同路径
5. 若需确定性结果（如压力测试），可使用 NORM.S.INV 替换为固定分位数
6. 实际应用中应模拟 ≥ 10,000 条路径以获得稳定分布
7. 多因子版本可加入汇率、股票、商品价格等</t>
        </is>
      </c>
    </row>
    <row r="66"/>
    <row r="67"/>
    <row r="68"/>
    <row r="69"/>
  </sheetData>
  <mergeCells count="23">
    <mergeCell ref="A11:B11"/>
    <mergeCell ref="A4:G4"/>
    <mergeCell ref="C14:D14"/>
    <mergeCell ref="C10:D10"/>
    <mergeCell ref="A39:G39"/>
    <mergeCell ref="C9:D9"/>
    <mergeCell ref="A12:B12"/>
    <mergeCell ref="C12:D12"/>
    <mergeCell ref="A1:G1"/>
    <mergeCell ref="C11:D11"/>
    <mergeCell ref="A14:B14"/>
    <mergeCell ref="A16:G16"/>
    <mergeCell ref="A7:G7"/>
    <mergeCell ref="A41:G41"/>
    <mergeCell ref="A8:B8"/>
    <mergeCell ref="C8:D8"/>
    <mergeCell ref="A3:G3"/>
    <mergeCell ref="A10:B10"/>
    <mergeCell ref="A13:B13"/>
    <mergeCell ref="A65:G69"/>
    <mergeCell ref="C13:D13"/>
    <mergeCell ref="A9:B9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 ht="28" customHeight="1">
      <c r="A1" s="1" t="inlineStr">
        <is>
          <t>压力测试 · ALG-008（监管情景）</t>
        </is>
      </c>
    </row>
    <row r="2"/>
    <row r="3" ht="22" customHeight="1">
      <c r="A3" s="10" t="inlineStr">
        <is>
          <t>【算法】多因子压力测试</t>
        </is>
      </c>
    </row>
    <row r="4" ht="60" customHeight="1">
      <c r="A4" s="11" t="inlineStr">
        <is>
          <t>【公式】ΔNAV = ΔA - ΔL = -(DA·A - DL·L)·Δy + ½·(CA·A - CL·L)·(Δy)²</t>
        </is>
      </c>
    </row>
    <row r="5" ht="60" customHeight="1">
      <c r="A5" s="12" t="inlineStr">
        <is>
          <t>【说明】评估极端情景（监管要求 + 自定义）下公司资产负债表现。本案例设定 4 类监管情景：利率 ±200bp、退保率 +50%、投资收益率 -50%。输出指标：净资产变化、偿付能力充足率、流动性缺口。</t>
        </is>
      </c>
    </row>
    <row r="6"/>
    <row r="7" ht="22" customHeight="1">
      <c r="A7" s="4" t="inlineStr">
        <is>
          <t>一、当前资产负债状态</t>
        </is>
      </c>
    </row>
    <row r="8">
      <c r="A8" s="17" t="inlineStr">
        <is>
          <t>资产规模(亿)</t>
        </is>
      </c>
      <c r="B8" s="30" t="n"/>
      <c r="C8" s="47" t="n">
        <v>1000</v>
      </c>
      <c r="D8" s="30" t="n"/>
    </row>
    <row r="9">
      <c r="A9" s="17" t="inlineStr">
        <is>
          <t>负债规模(亿)</t>
        </is>
      </c>
      <c r="B9" s="30" t="n"/>
      <c r="C9" s="47" t="n">
        <v>1100</v>
      </c>
      <c r="D9" s="30" t="n"/>
    </row>
    <row r="10">
      <c r="A10" s="17" t="inlineStr">
        <is>
          <t>资产加权久期</t>
        </is>
      </c>
      <c r="B10" s="30" t="n"/>
      <c r="C10" s="46" t="n">
        <v>7.5</v>
      </c>
      <c r="D10" s="30" t="n"/>
    </row>
    <row r="11">
      <c r="A11" s="17" t="inlineStr">
        <is>
          <t>负债加权久期</t>
        </is>
      </c>
      <c r="B11" s="30" t="n"/>
      <c r="C11" s="46" t="n">
        <v>8.199999999999999</v>
      </c>
      <c r="D11" s="30" t="n"/>
    </row>
    <row r="12">
      <c r="A12" s="17" t="inlineStr">
        <is>
          <t>资产加权凸性</t>
        </is>
      </c>
      <c r="B12" s="30" t="n"/>
      <c r="C12" s="46" t="n">
        <v>60</v>
      </c>
      <c r="D12" s="30" t="n"/>
    </row>
    <row r="13">
      <c r="A13" s="17" t="inlineStr">
        <is>
          <t>负债加权凸性</t>
        </is>
      </c>
      <c r="B13" s="30" t="n"/>
      <c r="C13" s="46" t="n">
        <v>75</v>
      </c>
      <c r="D13" s="30" t="n"/>
    </row>
    <row r="14">
      <c r="A14" s="17" t="inlineStr">
        <is>
          <t>当前偿付能力充足率</t>
        </is>
      </c>
      <c r="B14" s="30" t="n"/>
      <c r="C14" s="50" t="n">
        <v>1.5</v>
      </c>
      <c r="D14" s="30" t="n"/>
    </row>
    <row r="15">
      <c r="A15" s="17" t="inlineStr">
        <is>
          <t>流动性资产(亿)</t>
        </is>
      </c>
      <c r="B15" s="30" t="n"/>
      <c r="C15" s="47" t="n">
        <v>200</v>
      </c>
      <c r="D15" s="30" t="n"/>
    </row>
    <row r="16"/>
    <row r="17" ht="22" customHeight="1">
      <c r="A17" s="4" t="inlineStr">
        <is>
          <t>二、冲击情景设定</t>
        </is>
      </c>
    </row>
    <row r="18">
      <c r="A18" s="5" t="inlineStr">
        <is>
          <t>情景编号</t>
        </is>
      </c>
      <c r="B18" s="5" t="inlineStr">
        <is>
          <t>情景名称</t>
        </is>
      </c>
      <c r="C18" s="5" t="inlineStr">
        <is>
          <t>利率冲击(bp)</t>
        </is>
      </c>
      <c r="D18" s="5" t="inlineStr">
        <is>
          <t>退保率冲击</t>
        </is>
      </c>
      <c r="E18" s="5" t="inlineStr">
        <is>
          <t>投资收益率冲击</t>
        </is>
      </c>
      <c r="F18" s="5" t="inlineStr">
        <is>
          <t>汇率冲击</t>
        </is>
      </c>
      <c r="G18" s="5" t="inlineStr">
        <is>
          <t>备注</t>
        </is>
      </c>
    </row>
    <row r="19">
      <c r="A19" s="49" t="inlineStr">
        <is>
          <t>S1</t>
        </is>
      </c>
      <c r="B19" s="25" t="inlineStr">
        <is>
          <t>利率上升</t>
        </is>
      </c>
      <c r="C19" s="50" t="n">
        <v>0.02</v>
      </c>
      <c r="D19" s="50" t="n">
        <v>0</v>
      </c>
      <c r="E19" s="50" t="n">
        <v>0</v>
      </c>
      <c r="F19" s="50" t="n">
        <v>0</v>
      </c>
      <c r="G19" s="29" t="inlineStr">
        <is>
          <t>监管情景</t>
        </is>
      </c>
    </row>
    <row r="20">
      <c r="A20" s="49" t="inlineStr">
        <is>
          <t>S2</t>
        </is>
      </c>
      <c r="B20" s="25" t="inlineStr">
        <is>
          <t>利率下降</t>
        </is>
      </c>
      <c r="C20" s="50" t="n">
        <v>-0.02</v>
      </c>
      <c r="D20" s="50" t="n">
        <v>0</v>
      </c>
      <c r="E20" s="50" t="n">
        <v>0</v>
      </c>
      <c r="F20" s="50" t="n">
        <v>0</v>
      </c>
      <c r="G20" s="29" t="inlineStr">
        <is>
          <t>监管情景</t>
        </is>
      </c>
    </row>
    <row r="21">
      <c r="A21" s="49" t="inlineStr">
        <is>
          <t>S3</t>
        </is>
      </c>
      <c r="B21" s="25" t="inlineStr">
        <is>
          <t>退保激增</t>
        </is>
      </c>
      <c r="C21" s="50" t="n">
        <v>0</v>
      </c>
      <c r="D21" s="50" t="n">
        <v>0.5</v>
      </c>
      <c r="E21" s="50" t="n">
        <v>0</v>
      </c>
      <c r="F21" s="50" t="n">
        <v>0</v>
      </c>
      <c r="G21" s="29" t="inlineStr">
        <is>
          <t>监管情景</t>
        </is>
      </c>
    </row>
    <row r="22">
      <c r="A22" s="49" t="inlineStr">
        <is>
          <t>S4</t>
        </is>
      </c>
      <c r="B22" s="25" t="inlineStr">
        <is>
          <t>投资亏损</t>
        </is>
      </c>
      <c r="C22" s="50" t="n">
        <v>0</v>
      </c>
      <c r="D22" s="50" t="n">
        <v>0</v>
      </c>
      <c r="E22" s="50" t="n">
        <v>-0.5</v>
      </c>
      <c r="F22" s="50" t="n">
        <v>0</v>
      </c>
      <c r="G22" s="29" t="inlineStr">
        <is>
          <t>监管情景</t>
        </is>
      </c>
    </row>
    <row r="23">
      <c r="A23" s="49" t="inlineStr">
        <is>
          <t>S5</t>
        </is>
      </c>
      <c r="B23" s="25" t="inlineStr">
        <is>
          <t>汇率冲击</t>
        </is>
      </c>
      <c r="C23" s="50" t="n">
        <v>0</v>
      </c>
      <c r="D23" s="50" t="n">
        <v>0</v>
      </c>
      <c r="E23" s="50" t="n">
        <v>0</v>
      </c>
      <c r="F23" s="50" t="n">
        <v>0.15</v>
      </c>
      <c r="G23" s="29" t="inlineStr">
        <is>
          <t>监管情景</t>
        </is>
      </c>
    </row>
    <row r="24">
      <c r="A24" s="49" t="inlineStr">
        <is>
          <t>S6</t>
        </is>
      </c>
      <c r="B24" s="25" t="inlineStr">
        <is>
          <t>综合压力</t>
        </is>
      </c>
      <c r="C24" s="50" t="n">
        <v>0.01</v>
      </c>
      <c r="D24" s="50" t="n">
        <v>0.3</v>
      </c>
      <c r="E24" s="50" t="n">
        <v>-0.3</v>
      </c>
      <c r="F24" s="50" t="n">
        <v>0.1</v>
      </c>
      <c r="G24" s="29" t="inlineStr">
        <is>
          <t>自定义综合</t>
        </is>
      </c>
    </row>
    <row r="25"/>
    <row r="26"/>
    <row r="27" ht="22" customHeight="1">
      <c r="A27" s="4" t="inlineStr">
        <is>
          <t>三、压力测试结果</t>
        </is>
      </c>
    </row>
    <row r="28">
      <c r="A28" s="5" t="inlineStr">
        <is>
          <t>情景</t>
        </is>
      </c>
      <c r="B28" s="5" t="inlineStr">
        <is>
          <t>资产变动(亿)</t>
        </is>
      </c>
      <c r="C28" s="5" t="inlineStr">
        <is>
          <t>负债变动(亿)</t>
        </is>
      </c>
      <c r="D28" s="5" t="inlineStr">
        <is>
          <t>净资产变动(亿)</t>
        </is>
      </c>
      <c r="E28" s="5" t="inlineStr">
        <is>
          <t>新充足率</t>
        </is>
      </c>
      <c r="F28" s="5" t="inlineStr">
        <is>
          <t>流动性缺口(亿)</t>
        </is>
      </c>
      <c r="G28" s="5" t="inlineStr">
        <is>
          <t>判定</t>
        </is>
      </c>
    </row>
    <row r="29">
      <c r="A29" s="9" t="inlineStr">
        <is>
          <t>S1 利率上升</t>
        </is>
      </c>
      <c r="B29" s="27">
        <f>-C10*C8*C19+0.5*C12*C8*C19^2+(C8*(F19+(-E19)))</f>
        <v/>
      </c>
      <c r="C29" s="27">
        <f>-C11*C9*C19+0.5*C13*C9*C19^2-(C9*D19)</f>
        <v/>
      </c>
      <c r="D29" s="27">
        <f>B29-C29</f>
        <v/>
      </c>
      <c r="E29" s="28">
        <f>C14*(1+D29/C8)</f>
        <v/>
      </c>
      <c r="F29" s="27">
        <f>C15-D19*0.1</f>
        <v/>
      </c>
      <c r="G29" s="54">
        <f>IF(E29&gt;=1,"✓","✗")</f>
        <v/>
      </c>
    </row>
    <row r="30">
      <c r="A30" s="9" t="inlineStr">
        <is>
          <t>S2 利率下降</t>
        </is>
      </c>
      <c r="B30" s="27">
        <f>-C10*C8*C20+0.5*C12*C8*C20^2+(C8*(F20+(-E20)))</f>
        <v/>
      </c>
      <c r="C30" s="27">
        <f>-C11*C9*C20+0.5*C13*C9*C20^2-(C9*D20)</f>
        <v/>
      </c>
      <c r="D30" s="27">
        <f>B30-C30</f>
        <v/>
      </c>
      <c r="E30" s="28">
        <f>C14*(1+D30/C8)</f>
        <v/>
      </c>
      <c r="F30" s="27">
        <f>C15-D20*0.1</f>
        <v/>
      </c>
      <c r="G30" s="54">
        <f>IF(E30&gt;=1,"✓","✗")</f>
        <v/>
      </c>
    </row>
    <row r="31">
      <c r="A31" s="9" t="inlineStr">
        <is>
          <t>S3 退保激增</t>
        </is>
      </c>
      <c r="B31" s="27">
        <f>-C10*C8*C21+0.5*C12*C8*C21^2+(C8*(F21+(-E21)))</f>
        <v/>
      </c>
      <c r="C31" s="27">
        <f>-C11*C9*C21+0.5*C13*C9*C21^2-(C9*D21)</f>
        <v/>
      </c>
      <c r="D31" s="27">
        <f>B31-C31</f>
        <v/>
      </c>
      <c r="E31" s="28">
        <f>C14*(1+D31/C8)</f>
        <v/>
      </c>
      <c r="F31" s="27">
        <f>C15-D21*0.1</f>
        <v/>
      </c>
      <c r="G31" s="54">
        <f>IF(E31&gt;=1,"✓","✗")</f>
        <v/>
      </c>
    </row>
    <row r="32">
      <c r="A32" s="9" t="inlineStr">
        <is>
          <t>S4 投资亏损</t>
        </is>
      </c>
      <c r="B32" s="27">
        <f>-C10*C8*C22+0.5*C12*C8*C22^2+(C8*(F22+(-E22)))</f>
        <v/>
      </c>
      <c r="C32" s="27">
        <f>-C11*C9*C22+0.5*C13*C9*C22^2-(C9*D22)</f>
        <v/>
      </c>
      <c r="D32" s="27">
        <f>B32-C32</f>
        <v/>
      </c>
      <c r="E32" s="28">
        <f>C14*(1+D32/C8)</f>
        <v/>
      </c>
      <c r="F32" s="27">
        <f>C15-D22*0.1</f>
        <v/>
      </c>
      <c r="G32" s="54">
        <f>IF(E32&gt;=1,"✓","✗")</f>
        <v/>
      </c>
    </row>
    <row r="33">
      <c r="A33" s="9" t="inlineStr">
        <is>
          <t>S5 汇率冲击</t>
        </is>
      </c>
      <c r="B33" s="27">
        <f>-C10*C8*C23+0.5*C12*C8*C23^2+(C8*(F23+(-E23)))</f>
        <v/>
      </c>
      <c r="C33" s="27">
        <f>-C11*C9*C23+0.5*C13*C9*C23^2-(C9*D23)</f>
        <v/>
      </c>
      <c r="D33" s="27">
        <f>B33-C33</f>
        <v/>
      </c>
      <c r="E33" s="28">
        <f>C14*(1+D33/C8)</f>
        <v/>
      </c>
      <c r="F33" s="27">
        <f>C15-D23*0.1</f>
        <v/>
      </c>
      <c r="G33" s="54">
        <f>IF(E33&gt;=1,"✓","✗")</f>
        <v/>
      </c>
    </row>
    <row r="34">
      <c r="A34" s="9" t="inlineStr">
        <is>
          <t>S6 综合压力</t>
        </is>
      </c>
      <c r="B34" s="27">
        <f>-C10*C8*C24+0.5*C12*C8*C24^2+(C8*(F24+(-E24)))</f>
        <v/>
      </c>
      <c r="C34" s="27">
        <f>-C11*C9*C24+0.5*C13*C9*C24^2-(C9*D24)</f>
        <v/>
      </c>
      <c r="D34" s="27">
        <f>B34-C34</f>
        <v/>
      </c>
      <c r="E34" s="28">
        <f>C14*(1+D34/C8)</f>
        <v/>
      </c>
      <c r="F34" s="27">
        <f>C15-D24*0.1</f>
        <v/>
      </c>
      <c r="G34" s="54">
        <f>IF(E34&gt;=1,"✓","✗")</f>
        <v/>
      </c>
    </row>
    <row r="35"/>
    <row r="36"/>
    <row r="37"/>
    <row r="38">
      <c r="A38" s="24" t="inlineStr">
        <is>
          <t>【解读说明】
1. 监管情景必须测试：利率±200bp、退保率+50%、投资收益率-50%
2. 净资产变动 ΔNAV ≈ -(DA·A - DL·L)·Δy + ½·(CA·A - CL·L)·(Δy)²
3. 偿付能力充足率 = 实际资本/最低资本，监管要求 ≥ 100%
4. 流动性缺口反映极端情景下的现金需求
5. 反向压力测试：寻找导致充足率降至 100% 的极端情景
6. 实务中应每季度更新压力测试结果，定期报告 ALCO
7. 综合压力测试结果应进入公司风险管理报告</t>
        </is>
      </c>
    </row>
    <row r="39"/>
    <row r="40"/>
    <row r="41"/>
    <row r="42"/>
  </sheetData>
  <mergeCells count="24">
    <mergeCell ref="A15:B15"/>
    <mergeCell ref="A17:G17"/>
    <mergeCell ref="C15:D15"/>
    <mergeCell ref="A11:B11"/>
    <mergeCell ref="A4:G4"/>
    <mergeCell ref="C14:D14"/>
    <mergeCell ref="C10:D10"/>
    <mergeCell ref="A38:G42"/>
    <mergeCell ref="C9:D9"/>
    <mergeCell ref="A12:B12"/>
    <mergeCell ref="C12:D12"/>
    <mergeCell ref="A1:G1"/>
    <mergeCell ref="C11:D11"/>
    <mergeCell ref="A14:B14"/>
    <mergeCell ref="A7:G7"/>
    <mergeCell ref="A8:B8"/>
    <mergeCell ref="C8:D8"/>
    <mergeCell ref="A27:G27"/>
    <mergeCell ref="A3:G3"/>
    <mergeCell ref="A10:B10"/>
    <mergeCell ref="A13:B13"/>
    <mergeCell ref="C13:D13"/>
    <mergeCell ref="A9:B9"/>
    <mergeCell ref="A5:G5"/>
  </mergeCells>
  <conditionalFormatting sqref="G29:G34">
    <cfRule type="cellIs" priority="1" operator="equal" dxfId="0">
      <formula>"✓"</formula>
    </cfRule>
    <cfRule type="cellIs" priority="2" operator="equal" dxfId="1">
      <formula>"✗"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Markowitz均值-方差资产配置 · ALG-010</t>
        </is>
      </c>
    </row>
    <row r="2"/>
    <row r="3" ht="22" customHeight="1">
      <c r="A3" s="10" t="inlineStr">
        <is>
          <t>【算法】最大夏普比率模型</t>
        </is>
      </c>
    </row>
    <row r="4" ht="60" customHeight="1">
      <c r="A4" s="11" t="inlineStr">
        <is>
          <t>【公式】max (wᵀ·μ - r_f) / √(wᵀ·Σ·w)  ;  s.t. Σw = 1, w ≥ 0, w ≤ 0.4</t>
        </is>
      </c>
    </row>
    <row r="5" ht="60" customHeight="1">
      <c r="A5" s="12" t="inlineStr">
        <is>
          <t>【说明】基于 5 类资产的预期收益率和协方差矩阵，求解最大夏普比率组合。Excel 演示组合预期收益和组合方差的手工计算，完整求解需使用 Solver 加载项或 Python cvxpy。</t>
        </is>
      </c>
    </row>
    <row r="6"/>
    <row r="7" ht="22" customHeight="1">
      <c r="A7" s="4" t="inlineStr">
        <is>
          <t>一、资产预期参数</t>
        </is>
      </c>
    </row>
    <row r="8">
      <c r="A8" s="5" t="inlineStr">
        <is>
          <t>资产类别</t>
        </is>
      </c>
      <c r="B8" s="5" t="inlineStr">
        <is>
          <t>国债</t>
        </is>
      </c>
      <c r="C8" s="5" t="inlineStr">
        <is>
          <t>政策性金融债</t>
        </is>
      </c>
      <c r="D8" s="5" t="inlineStr">
        <is>
          <t>企业债</t>
        </is>
      </c>
      <c r="E8" s="5" t="inlineStr">
        <is>
          <t>股票</t>
        </is>
      </c>
      <c r="F8" s="5" t="inlineStr">
        <is>
          <t>基金</t>
        </is>
      </c>
    </row>
    <row r="9">
      <c r="A9" s="17" t="inlineStr">
        <is>
          <t>预期收益率</t>
        </is>
      </c>
      <c r="B9" s="50" t="n">
        <v>0.03</v>
      </c>
      <c r="C9" s="50" t="n">
        <v>0.038</v>
      </c>
      <c r="D9" s="50" t="n">
        <v>0.045</v>
      </c>
      <c r="E9" s="50" t="n">
        <v>0.08</v>
      </c>
      <c r="F9" s="50" t="n">
        <v>0.06</v>
      </c>
    </row>
    <row r="10">
      <c r="A10" s="17" t="inlineStr">
        <is>
          <t>波动率</t>
        </is>
      </c>
      <c r="B10" s="50" t="n">
        <v>0.02</v>
      </c>
      <c r="C10" s="50" t="n">
        <v>0.03</v>
      </c>
      <c r="D10" s="50" t="n">
        <v>0.06</v>
      </c>
      <c r="E10" s="50" t="n">
        <v>0.25</v>
      </c>
      <c r="F10" s="50" t="n">
        <v>0.15</v>
      </c>
    </row>
    <row r="11"/>
    <row r="12" ht="22" customHeight="1">
      <c r="A12" s="4" t="inlineStr">
        <is>
          <t>二、协方差矩阵（基于历史数据估算）</t>
        </is>
      </c>
    </row>
    <row r="13">
      <c r="A13" s="5" t="inlineStr">
        <is>
          <t>资产</t>
        </is>
      </c>
      <c r="B13" s="5" t="inlineStr">
        <is>
          <t>国债</t>
        </is>
      </c>
      <c r="C13" s="5" t="inlineStr">
        <is>
          <t>政金债</t>
        </is>
      </c>
      <c r="D13" s="5" t="inlineStr">
        <is>
          <t>企业债</t>
        </is>
      </c>
      <c r="E13" s="5" t="inlineStr">
        <is>
          <t>股票</t>
        </is>
      </c>
      <c r="F13" s="5" t="inlineStr">
        <is>
          <t>基金</t>
        </is>
      </c>
    </row>
    <row r="14">
      <c r="A14" s="17" t="inlineStr">
        <is>
          <t>国债</t>
        </is>
      </c>
      <c r="B14" s="55" t="n">
        <v>0.0004</v>
      </c>
      <c r="C14" s="55" t="n">
        <v>0.00036</v>
      </c>
      <c r="D14" s="55" t="n">
        <v>0.00024</v>
      </c>
      <c r="E14" s="55" t="n">
        <v>0.0005</v>
      </c>
      <c r="F14" s="55" t="n">
        <v>0.0003</v>
      </c>
    </row>
    <row r="15">
      <c r="A15" s="17" t="inlineStr">
        <is>
          <t>政金债</t>
        </is>
      </c>
      <c r="B15" s="55" t="n">
        <v>0.00036</v>
      </c>
      <c r="C15" s="55" t="n">
        <v>0.0009</v>
      </c>
      <c r="D15" s="55" t="n">
        <v>0.00054</v>
      </c>
      <c r="E15" s="55" t="n">
        <v>0.00075</v>
      </c>
      <c r="F15" s="55" t="n">
        <v>0.00045</v>
      </c>
    </row>
    <row r="16">
      <c r="A16" s="17" t="inlineStr">
        <is>
          <t>企业债</t>
        </is>
      </c>
      <c r="B16" s="55" t="n">
        <v>0.00024</v>
      </c>
      <c r="C16" s="55" t="n">
        <v>0.00054</v>
      </c>
      <c r="D16" s="55" t="n">
        <v>0.0036</v>
      </c>
      <c r="E16" s="55" t="n">
        <v>0.0015</v>
      </c>
      <c r="F16" s="55" t="n">
        <v>0.0009</v>
      </c>
    </row>
    <row r="17">
      <c r="A17" s="17" t="inlineStr">
        <is>
          <t>股票</t>
        </is>
      </c>
      <c r="B17" s="55" t="n">
        <v>0.0005</v>
      </c>
      <c r="C17" s="55" t="n">
        <v>0.00075</v>
      </c>
      <c r="D17" s="55" t="n">
        <v>0.0015</v>
      </c>
      <c r="E17" s="55" t="n">
        <v>0.0625</v>
      </c>
      <c r="F17" s="55" t="n">
        <v>0.00375</v>
      </c>
    </row>
    <row r="18">
      <c r="A18" s="17" t="inlineStr">
        <is>
          <t>基金</t>
        </is>
      </c>
      <c r="B18" s="55" t="n">
        <v>0.0003</v>
      </c>
      <c r="C18" s="55" t="n">
        <v>0.00045</v>
      </c>
      <c r="D18" s="55" t="n">
        <v>0.0009</v>
      </c>
      <c r="E18" s="55" t="n">
        <v>0.00375</v>
      </c>
      <c r="F18" s="55" t="n">
        <v>0.0225</v>
      </c>
    </row>
    <row r="19"/>
    <row r="20">
      <c r="A20" s="17" t="inlineStr">
        <is>
          <t>无风险利率</t>
        </is>
      </c>
      <c r="B20" s="50" t="n">
        <v>0.025</v>
      </c>
    </row>
    <row r="21"/>
    <row r="22" ht="22" customHeight="1">
      <c r="A22" s="4" t="inlineStr">
        <is>
          <t>三、单资产夏普比率</t>
        </is>
      </c>
    </row>
    <row r="23">
      <c r="A23" s="5" t="inlineStr">
        <is>
          <t>资产</t>
        </is>
      </c>
      <c r="B23" s="5" t="inlineStr">
        <is>
          <t>预期收益率</t>
        </is>
      </c>
      <c r="C23" s="5" t="inlineStr">
        <is>
          <t>波动率</t>
        </is>
      </c>
      <c r="D23" s="5" t="inlineStr">
        <is>
          <t>无风险利率</t>
        </is>
      </c>
      <c r="E23" s="5" t="inlineStr">
        <is>
          <t>夏普比率</t>
        </is>
      </c>
      <c r="F23" s="5" t="inlineStr">
        <is>
          <t>风险等级</t>
        </is>
      </c>
      <c r="G23" s="5" t="inlineStr"/>
    </row>
    <row r="24">
      <c r="A24" s="49" t="inlineStr">
        <is>
          <t>国债</t>
        </is>
      </c>
      <c r="B24" s="56">
        <f>B9</f>
        <v/>
      </c>
      <c r="C24" s="56">
        <f>B10</f>
        <v/>
      </c>
      <c r="D24" s="28">
        <f>$B$20</f>
        <v/>
      </c>
      <c r="E24" s="43">
        <f>(B24-D24)/C24</f>
        <v/>
      </c>
      <c r="F24" s="40">
        <f>IF(E24&gt;0.5,"A","B")</f>
        <v/>
      </c>
      <c r="G24" s="35" t="n"/>
    </row>
    <row r="25">
      <c r="A25" s="49" t="inlineStr">
        <is>
          <t>政金债</t>
        </is>
      </c>
      <c r="B25" s="56">
        <f>C9</f>
        <v/>
      </c>
      <c r="C25" s="56">
        <f>C10</f>
        <v/>
      </c>
      <c r="D25" s="28">
        <f>$B$20</f>
        <v/>
      </c>
      <c r="E25" s="43">
        <f>(B25-D25)/C25</f>
        <v/>
      </c>
      <c r="F25" s="40">
        <f>IF(E25&gt;0.5,"A","B")</f>
        <v/>
      </c>
      <c r="G25" s="35" t="n"/>
    </row>
    <row r="26">
      <c r="A26" s="49" t="inlineStr">
        <is>
          <t>企业债</t>
        </is>
      </c>
      <c r="B26" s="56">
        <f>D9</f>
        <v/>
      </c>
      <c r="C26" s="56">
        <f>D10</f>
        <v/>
      </c>
      <c r="D26" s="28">
        <f>$B$20</f>
        <v/>
      </c>
      <c r="E26" s="43">
        <f>(B26-D26)/C26</f>
        <v/>
      </c>
      <c r="F26" s="40">
        <f>IF(E26&gt;0.5,"A","B")</f>
        <v/>
      </c>
      <c r="G26" s="35" t="n"/>
    </row>
    <row r="27">
      <c r="A27" s="49" t="inlineStr">
        <is>
          <t>股票</t>
        </is>
      </c>
      <c r="B27" s="56">
        <f>E9</f>
        <v/>
      </c>
      <c r="C27" s="56">
        <f>E10</f>
        <v/>
      </c>
      <c r="D27" s="28">
        <f>$B$20</f>
        <v/>
      </c>
      <c r="E27" s="43">
        <f>(B27-D27)/C27</f>
        <v/>
      </c>
      <c r="F27" s="40">
        <f>IF(E27&gt;0.5,"A","B")</f>
        <v/>
      </c>
      <c r="G27" s="35" t="n"/>
    </row>
    <row r="28">
      <c r="A28" s="49" t="inlineStr">
        <is>
          <t>基金</t>
        </is>
      </c>
      <c r="B28" s="56">
        <f>F9</f>
        <v/>
      </c>
      <c r="C28" s="56">
        <f>F10</f>
        <v/>
      </c>
      <c r="D28" s="28">
        <f>$B$20</f>
        <v/>
      </c>
      <c r="E28" s="43">
        <f>(B28-D28)/C28</f>
        <v/>
      </c>
      <c r="F28" s="40">
        <f>IF(E28&gt;0.5,"A","B")</f>
        <v/>
      </c>
      <c r="G28" s="35" t="n"/>
    </row>
    <row r="29"/>
    <row r="30"/>
    <row r="31" ht="22" customHeight="1">
      <c r="A31" s="4" t="inlineStr">
        <is>
          <t>四、组合配置对比</t>
        </is>
      </c>
    </row>
    <row r="32">
      <c r="A32" s="5" t="inlineStr">
        <is>
          <t>组合</t>
        </is>
      </c>
      <c r="B32" s="5" t="inlineStr">
        <is>
          <t>国债</t>
        </is>
      </c>
      <c r="C32" s="5" t="inlineStr">
        <is>
          <t>政金债</t>
        </is>
      </c>
      <c r="D32" s="5" t="inlineStr">
        <is>
          <t>企业债</t>
        </is>
      </c>
      <c r="E32" s="5" t="inlineStr">
        <is>
          <t>股票</t>
        </is>
      </c>
      <c r="F32" s="5" t="inlineStr">
        <is>
          <t>基金</t>
        </is>
      </c>
      <c r="G32" s="5" t="inlineStr">
        <is>
          <t>合计</t>
        </is>
      </c>
    </row>
    <row r="33">
      <c r="A33" s="49" t="inlineStr">
        <is>
          <t>等权组合</t>
        </is>
      </c>
      <c r="B33" s="50" t="n">
        <v>0.2</v>
      </c>
      <c r="C33" s="50" t="n">
        <v>0.2</v>
      </c>
      <c r="D33" s="50" t="n">
        <v>0.2</v>
      </c>
      <c r="E33" s="50" t="n">
        <v>0.2</v>
      </c>
      <c r="F33" s="50" t="n">
        <v>0.2</v>
      </c>
      <c r="G33" s="16">
        <f>SUM(B33:F33)</f>
        <v/>
      </c>
    </row>
    <row r="34">
      <c r="A34" s="49" t="inlineStr">
        <is>
          <t>风险平价组合</t>
        </is>
      </c>
      <c r="B34" s="50" t="n">
        <v>0.4518072289156626</v>
      </c>
      <c r="C34" s="50" t="n">
        <v>0.3012048192771085</v>
      </c>
      <c r="D34" s="50" t="n">
        <v>0.1506024096385542</v>
      </c>
      <c r="E34" s="50" t="n">
        <v>0.03614457831325301</v>
      </c>
      <c r="F34" s="50" t="n">
        <v>0.06024096385542169</v>
      </c>
      <c r="G34" s="16">
        <f>SUM(B34:F34)</f>
        <v/>
      </c>
    </row>
    <row r="35">
      <c r="A35" s="17" t="inlineStr">
        <is>
          <t>建议组合</t>
        </is>
      </c>
      <c r="B35" s="50" t="n">
        <v>0.3</v>
      </c>
      <c r="C35" s="50" t="n">
        <v>0.25</v>
      </c>
      <c r="D35" s="50" t="n">
        <v>0.25</v>
      </c>
      <c r="E35" s="50" t="n">
        <v>0.1</v>
      </c>
      <c r="F35" s="50" t="n">
        <v>0.1</v>
      </c>
      <c r="G35" s="20">
        <f>SUM(B35:F35)</f>
        <v/>
      </c>
    </row>
    <row r="36"/>
    <row r="37" ht="22" customHeight="1">
      <c r="A37" s="4" t="inlineStr">
        <is>
          <t>五、组合评估</t>
        </is>
      </c>
    </row>
    <row r="38">
      <c r="A38" s="5" t="inlineStr">
        <is>
          <t>组合</t>
        </is>
      </c>
      <c r="B38" s="5" t="inlineStr">
        <is>
          <t>预期收益率</t>
        </is>
      </c>
      <c r="C38" s="5" t="inlineStr">
        <is>
          <t>组合方差</t>
        </is>
      </c>
      <c r="D38" s="5" t="inlineStr">
        <is>
          <t>组合波动率</t>
        </is>
      </c>
      <c r="E38" s="5" t="inlineStr">
        <is>
          <t>夏普比率</t>
        </is>
      </c>
      <c r="F38" s="5" t="inlineStr">
        <is>
          <t>差异说明</t>
        </is>
      </c>
      <c r="G38" s="5" t="inlineStr"/>
    </row>
    <row r="39">
      <c r="A39" s="49" t="inlineStr">
        <is>
          <t>等权组合</t>
        </is>
      </c>
      <c r="B39" s="28">
        <f>SUMPRODUCT(B33:F33,B9:F9)</f>
        <v/>
      </c>
      <c r="C39" s="57">
        <f>B33^2*B14+C33^2*C15+D33^2*D16+E33^2*E17+F33^2*F18+2*B33*C33*B15+2*B33*D33*B16+2*B33*E33*B17+2*B33*F33*B18+2*C33*D33*C16+2*C33*E33*C17+2*C33*F33*C18+2*D33*E33*D17+2*D33*F33*D18+2*E33*F33*E18</f>
        <v/>
      </c>
      <c r="D39" s="28">
        <f>SQRT(C39)</f>
        <v/>
      </c>
      <c r="E39" s="43">
        <f>(B39-$B$20)/D39</f>
        <v/>
      </c>
      <c r="F39" s="19" t="inlineStr">
        <is>
          <t>简单平均</t>
        </is>
      </c>
      <c r="G39" s="35" t="n"/>
    </row>
    <row r="40">
      <c r="A40" s="49" t="inlineStr">
        <is>
          <t>风险平价组合</t>
        </is>
      </c>
      <c r="B40" s="28">
        <f>SUMPRODUCT(B34:F34,B9:F9)</f>
        <v/>
      </c>
      <c r="C40" s="57">
        <f>B34^2*B14+C34^2*C15+D34^2*D16+E34^2*E17+F34^2*F18+2*B34*C34*B15+2*B34*D34*B16+2*B34*E34*B17+2*B34*F34*B18+2*C34*D34*C16+2*C34*E34*C17+2*C34*F34*C18+2*D34*E34*D17+2*D34*F34*D18+2*E34*F34*E18</f>
        <v/>
      </c>
      <c r="D40" s="28">
        <f>SQRT(C40)</f>
        <v/>
      </c>
      <c r="E40" s="43">
        <f>(B40-$B$20)/D40</f>
        <v/>
      </c>
      <c r="F40" s="19" t="inlineStr">
        <is>
          <t>1/σ 反比</t>
        </is>
      </c>
      <c r="G40" s="35" t="n"/>
    </row>
    <row r="41">
      <c r="A41" s="17" t="inlineStr">
        <is>
          <t>建议组合</t>
        </is>
      </c>
      <c r="B41" s="33">
        <f>SUMPRODUCT(B35:F35,B9:F9)</f>
        <v/>
      </c>
      <c r="C41" s="58">
        <f>B35^2*B14+C35^2*C15+D35^2*D16+E35^2*E17+F35^2*F18+2*B35*C35*B15+2*B35*D35*B16+2*B35*E35*B17+2*B35*F35*B18+2*C35*D35*C16+2*C35*E35*C17+2*C35*F35*C18+2*D35*E35*D17+2*D35*F35*D18+2*E35*F35*E18</f>
        <v/>
      </c>
      <c r="D41" s="33">
        <f>SQRT(C41)</f>
        <v/>
      </c>
      <c r="E41" s="59">
        <f>(B41-$B$20)/D41</f>
        <v/>
      </c>
      <c r="F41" s="60" t="inlineStr">
        <is>
          <t>风险预算</t>
        </is>
      </c>
      <c r="G41" s="61" t="n"/>
    </row>
    <row r="42"/>
    <row r="43">
      <c r="A43" s="52" t="inlineStr">
        <is>
          <t>※ 完整 Markowitz 求解需启用 Solver 加载项</t>
        </is>
      </c>
    </row>
    <row r="44">
      <c r="A44" s="52" t="inlineStr">
        <is>
          <t xml:space="preserve">   目标: 最大化夏普比率 (E41) | 决策变量: B35:F35 | 约束: SUM=1, 0≤w≤0.4</t>
        </is>
      </c>
    </row>
    <row r="45"/>
    <row r="46">
      <c r="A46" s="24" t="inlineStr">
        <is>
          <t>【解读说明】
1. Markowitz 均值-方差是现代投资组合理论的基石
2. 最大夏普比率组合是有效前沿上的切线组合
3. 实务中需注意：
   - 协方差矩阵估计不稳定，建议使用 Ledoit-Wolf 收缩估计
   - 参数对结果敏感，需做敏感性分析
   - 引入约束（行业、久期、监管比例）后需用二次规划
4. Excel Solver 加载项步骤：
   - 文件 → 选项 → 加载项 → 管理：Excel加载项 → 转到 → 勾选"规划求解加载项"
   - 数据 → 规划求解 → 设置目标、可变单元格、约束
5. 实际生产环境建议使用 Python + cvxpy 实现
6. 组合方差公式：Var(w) = Σᵢⱼ wᵢ·wⱼ·Σᵢⱼ （本表展开为25项）</t>
        </is>
      </c>
    </row>
    <row r="47"/>
    <row r="48"/>
    <row r="49"/>
    <row r="50"/>
  </sheetData>
  <mergeCells count="12">
    <mergeCell ref="A44:G44"/>
    <mergeCell ref="A1:G1"/>
    <mergeCell ref="A31:G31"/>
    <mergeCell ref="A3:G3"/>
    <mergeCell ref="A22:G22"/>
    <mergeCell ref="A12:G12"/>
    <mergeCell ref="A4:G4"/>
    <mergeCell ref="A7:G7"/>
    <mergeCell ref="A43:G43"/>
    <mergeCell ref="A46:G50"/>
    <mergeCell ref="A5:G5"/>
    <mergeCell ref="A37:G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Brinson业绩归因 · ALG-012</t>
        </is>
      </c>
    </row>
    <row r="2"/>
    <row r="3" ht="22" customHeight="1">
      <c r="A3" s="10" t="inlineStr">
        <is>
          <t>【算法】Brinson-Fachler 单期归因</t>
        </is>
      </c>
    </row>
    <row r="4" ht="60" customHeight="1">
      <c r="A4" s="11" t="inlineStr">
        <is>
          <t>【公式】配置效应=Σᵢ(wᵢᵖ-wᵢᵇ)·Rᵢᵇ | 选择效应=Σᵢwᵢᵇ·(Rᵢᵖ-Rᵢᵇ) | 交互效应=Σᵢ(wᵢᵖ-wᵢᵇ)·(Rᵢᵖ-Rᵢᵇ)</t>
        </is>
      </c>
    </row>
    <row r="5" ht="60" customHeight="1">
      <c r="A5" s="12" t="inlineStr">
        <is>
          <t>【说明】将投资组合超额收益分解为：资产配置贡献（权重偏离）、证券选择贡献（类别内选股）、交互效应（两者复合）</t>
        </is>
      </c>
    </row>
    <row r="6"/>
    <row r="7" ht="22" customHeight="1">
      <c r="A7" s="4" t="inlineStr">
        <is>
          <t>一、组合与基准数据</t>
        </is>
      </c>
    </row>
    <row r="8">
      <c r="A8" s="5" t="inlineStr">
        <is>
          <t>资产类别</t>
        </is>
      </c>
      <c r="B8" s="5" t="inlineStr">
        <is>
          <t>组合权重</t>
        </is>
      </c>
      <c r="C8" s="5" t="inlineStr">
        <is>
          <t>基准权重</t>
        </is>
      </c>
      <c r="D8" s="5" t="inlineStr">
        <is>
          <t>组合收益率</t>
        </is>
      </c>
      <c r="E8" s="5" t="inlineStr">
        <is>
          <t>基准收益率</t>
        </is>
      </c>
      <c r="F8" s="5" t="inlineStr">
        <is>
          <t>权重差</t>
        </is>
      </c>
      <c r="G8" s="5" t="inlineStr">
        <is>
          <t>收益差</t>
        </is>
      </c>
    </row>
    <row r="9">
      <c r="A9" s="17" t="inlineStr">
        <is>
          <t>国债</t>
        </is>
      </c>
      <c r="B9" s="26" t="n">
        <v>0.3</v>
      </c>
      <c r="C9" s="26" t="n">
        <v>0.4</v>
      </c>
      <c r="D9" s="26" t="n">
        <v>0.032</v>
      </c>
      <c r="E9" s="26" t="n">
        <v>0.03</v>
      </c>
      <c r="F9" s="28">
        <f>B9-C9</f>
        <v/>
      </c>
      <c r="G9" s="28">
        <f>D9-E9</f>
        <v/>
      </c>
    </row>
    <row r="10">
      <c r="A10" s="17" t="inlineStr">
        <is>
          <t>政金债</t>
        </is>
      </c>
      <c r="B10" s="26" t="n">
        <v>0.25</v>
      </c>
      <c r="C10" s="26" t="n">
        <v>0.25</v>
      </c>
      <c r="D10" s="26" t="n">
        <v>0.04</v>
      </c>
      <c r="E10" s="26" t="n">
        <v>0.038</v>
      </c>
      <c r="F10" s="28">
        <f>B10-C10</f>
        <v/>
      </c>
      <c r="G10" s="28">
        <f>D10-E10</f>
        <v/>
      </c>
    </row>
    <row r="11">
      <c r="A11" s="17" t="inlineStr">
        <is>
          <t>企业债</t>
        </is>
      </c>
      <c r="B11" s="26" t="n">
        <v>0.25</v>
      </c>
      <c r="C11" s="26" t="n">
        <v>0.2</v>
      </c>
      <c r="D11" s="26" t="n">
        <v>0.048</v>
      </c>
      <c r="E11" s="26" t="n">
        <v>0.045</v>
      </c>
      <c r="F11" s="28">
        <f>B11-C11</f>
        <v/>
      </c>
      <c r="G11" s="28">
        <f>D11-E11</f>
        <v/>
      </c>
    </row>
    <row r="12">
      <c r="A12" s="17" t="inlineStr">
        <is>
          <t>股票</t>
        </is>
      </c>
      <c r="B12" s="26" t="n">
        <v>0.1</v>
      </c>
      <c r="C12" s="26" t="n">
        <v>0.1</v>
      </c>
      <c r="D12" s="26" t="n">
        <v>0.09</v>
      </c>
      <c r="E12" s="26" t="n">
        <v>0.08</v>
      </c>
      <c r="F12" s="28">
        <f>B12-C12</f>
        <v/>
      </c>
      <c r="G12" s="28">
        <f>D12-E12</f>
        <v/>
      </c>
    </row>
    <row r="13">
      <c r="A13" s="17" t="inlineStr">
        <is>
          <t>基金</t>
        </is>
      </c>
      <c r="B13" s="26" t="n">
        <v>0.1</v>
      </c>
      <c r="C13" s="26" t="n">
        <v>0.05</v>
      </c>
      <c r="D13" s="26" t="n">
        <v>0.065</v>
      </c>
      <c r="E13" s="26" t="n">
        <v>0.06</v>
      </c>
      <c r="F13" s="28">
        <f>B13-C13</f>
        <v/>
      </c>
      <c r="G13" s="28">
        <f>D13-E13</f>
        <v/>
      </c>
    </row>
    <row r="14">
      <c r="A14" s="31" t="inlineStr">
        <is>
          <t>合计</t>
        </is>
      </c>
      <c r="B14" s="33">
        <f>SUM(B9:B13)</f>
        <v/>
      </c>
      <c r="C14" s="33">
        <f>SUM(C9:C13)</f>
        <v/>
      </c>
      <c r="D14" s="33">
        <f>SUMPRODUCT(B9:B13,D9:D13)</f>
        <v/>
      </c>
      <c r="E14" s="33">
        <f>SUMPRODUCT(C9:C13,E9:E13)</f>
        <v/>
      </c>
      <c r="F14" s="33">
        <f>B14-C14</f>
        <v/>
      </c>
      <c r="G14" s="33">
        <f>D14-E14</f>
        <v/>
      </c>
    </row>
    <row r="15"/>
    <row r="16" ht="22" customHeight="1">
      <c r="A16" s="4" t="inlineStr">
        <is>
          <t>二、Brinson 归因分解</t>
        </is>
      </c>
    </row>
    <row r="17">
      <c r="A17" s="5" t="inlineStr">
        <is>
          <t>资产类别</t>
        </is>
      </c>
      <c r="B17" s="5" t="inlineStr">
        <is>
          <t>配置效应</t>
        </is>
      </c>
      <c r="C17" s="5" t="inlineStr">
        <is>
          <t>选择效应</t>
        </is>
      </c>
      <c r="D17" s="5" t="inlineStr">
        <is>
          <t>交互效应</t>
        </is>
      </c>
      <c r="E17" s="5" t="inlineStr">
        <is>
          <t>合计贡献</t>
        </is>
      </c>
      <c r="F17" s="5" t="inlineStr">
        <is>
          <t>贡献占比</t>
        </is>
      </c>
      <c r="G17" s="5" t="inlineStr"/>
    </row>
    <row r="18">
      <c r="A18" s="17" t="inlineStr">
        <is>
          <t>国债</t>
        </is>
      </c>
      <c r="B18" s="28">
        <f>F9*E9</f>
        <v/>
      </c>
      <c r="C18" s="28">
        <f>C9*G9</f>
        <v/>
      </c>
      <c r="D18" s="28">
        <f>F9*G9</f>
        <v/>
      </c>
      <c r="E18" s="28">
        <f>B18+C18+D18</f>
        <v/>
      </c>
      <c r="F18" s="28">
        <f>E18/SUM($E$18:$E$22)</f>
        <v/>
      </c>
      <c r="G18" s="35" t="n"/>
    </row>
    <row r="19">
      <c r="A19" s="17" t="inlineStr">
        <is>
          <t>政金债</t>
        </is>
      </c>
      <c r="B19" s="28">
        <f>F10*E10</f>
        <v/>
      </c>
      <c r="C19" s="28">
        <f>C10*G10</f>
        <v/>
      </c>
      <c r="D19" s="28">
        <f>F10*G10</f>
        <v/>
      </c>
      <c r="E19" s="28">
        <f>B19+C19+D19</f>
        <v/>
      </c>
      <c r="F19" s="28">
        <f>E19/SUM($E$18:$E$22)</f>
        <v/>
      </c>
      <c r="G19" s="35" t="n"/>
    </row>
    <row r="20">
      <c r="A20" s="17" t="inlineStr">
        <is>
          <t>企业债</t>
        </is>
      </c>
      <c r="B20" s="28">
        <f>F11*E11</f>
        <v/>
      </c>
      <c r="C20" s="28">
        <f>C11*G11</f>
        <v/>
      </c>
      <c r="D20" s="28">
        <f>F11*G11</f>
        <v/>
      </c>
      <c r="E20" s="28">
        <f>B20+C20+D20</f>
        <v/>
      </c>
      <c r="F20" s="28">
        <f>E20/SUM($E$18:$E$22)</f>
        <v/>
      </c>
      <c r="G20" s="35" t="n"/>
    </row>
    <row r="21">
      <c r="A21" s="17" t="inlineStr">
        <is>
          <t>股票</t>
        </is>
      </c>
      <c r="B21" s="28">
        <f>F12*E12</f>
        <v/>
      </c>
      <c r="C21" s="28">
        <f>C12*G12</f>
        <v/>
      </c>
      <c r="D21" s="28">
        <f>F12*G12</f>
        <v/>
      </c>
      <c r="E21" s="28">
        <f>B21+C21+D21</f>
        <v/>
      </c>
      <c r="F21" s="28">
        <f>E21/SUM($E$18:$E$22)</f>
        <v/>
      </c>
      <c r="G21" s="35" t="n"/>
    </row>
    <row r="22">
      <c r="A22" s="17" t="inlineStr">
        <is>
          <t>基金</t>
        </is>
      </c>
      <c r="B22" s="28">
        <f>F13*E13</f>
        <v/>
      </c>
      <c r="C22" s="28">
        <f>C13*G13</f>
        <v/>
      </c>
      <c r="D22" s="28">
        <f>F13*G13</f>
        <v/>
      </c>
      <c r="E22" s="28">
        <f>B22+C22+D22</f>
        <v/>
      </c>
      <c r="F22" s="28">
        <f>E22/SUM($E$18:$E$22)</f>
        <v/>
      </c>
      <c r="G22" s="35" t="n"/>
    </row>
    <row r="23">
      <c r="A23" s="31" t="inlineStr">
        <is>
          <t>合计</t>
        </is>
      </c>
      <c r="B23" s="33">
        <f>SUM(B18:B22)</f>
        <v/>
      </c>
      <c r="C23" s="33">
        <f>SUM(C18:C22)</f>
        <v/>
      </c>
      <c r="D23" s="33">
        <f>SUM(D18:D22)</f>
        <v/>
      </c>
      <c r="E23" s="33">
        <f>SUM(E18:E22)</f>
        <v/>
      </c>
      <c r="F23" s="33">
        <f>SUM(F18:F22)</f>
        <v/>
      </c>
      <c r="G23" s="35" t="n"/>
    </row>
    <row r="24"/>
    <row r="25" ht="22" customHeight="1">
      <c r="A25" s="4" t="inlineStr">
        <is>
          <t>三、关键结果</t>
        </is>
      </c>
    </row>
    <row r="26">
      <c r="A26" s="21" t="inlineStr">
        <is>
          <t>组合加权收益率</t>
        </is>
      </c>
      <c r="B26" s="37" t="n"/>
      <c r="C26" s="30" t="n"/>
      <c r="D26" s="20">
        <f>D14</f>
        <v/>
      </c>
      <c r="E26" s="37" t="n"/>
      <c r="F26" s="37" t="n"/>
      <c r="G26" s="30" t="n"/>
    </row>
    <row r="27">
      <c r="A27" s="21" t="inlineStr">
        <is>
          <t>基准加权收益率</t>
        </is>
      </c>
      <c r="B27" s="37" t="n"/>
      <c r="C27" s="30" t="n"/>
      <c r="D27" s="20">
        <f>E14</f>
        <v/>
      </c>
      <c r="E27" s="37" t="n"/>
      <c r="F27" s="37" t="n"/>
      <c r="G27" s="30" t="n"/>
    </row>
    <row r="28">
      <c r="A28" s="21" t="inlineStr">
        <is>
          <t>总超额收益</t>
        </is>
      </c>
      <c r="B28" s="37" t="n"/>
      <c r="C28" s="30" t="n"/>
      <c r="D28" s="20">
        <f>G14</f>
        <v/>
      </c>
      <c r="E28" s="37" t="n"/>
      <c r="F28" s="37" t="n"/>
      <c r="G28" s="30" t="n"/>
    </row>
    <row r="29">
      <c r="A29" s="21" t="inlineStr">
        <is>
          <t>配置效应合计</t>
        </is>
      </c>
      <c r="B29" s="37" t="n"/>
      <c r="C29" s="30" t="n"/>
      <c r="D29" s="20">
        <f>B23</f>
        <v/>
      </c>
      <c r="E29" s="37" t="n"/>
      <c r="F29" s="37" t="n"/>
      <c r="G29" s="30" t="n"/>
    </row>
    <row r="30">
      <c r="A30" s="21" t="inlineStr">
        <is>
          <t>选择效应合计</t>
        </is>
      </c>
      <c r="B30" s="37" t="n"/>
      <c r="C30" s="30" t="n"/>
      <c r="D30" s="20">
        <f>C23</f>
        <v/>
      </c>
      <c r="E30" s="37" t="n"/>
      <c r="F30" s="37" t="n"/>
      <c r="G30" s="30" t="n"/>
    </row>
    <row r="31">
      <c r="A31" s="21" t="inlineStr">
        <is>
          <t>交互效应合计</t>
        </is>
      </c>
      <c r="B31" s="37" t="n"/>
      <c r="C31" s="30" t="n"/>
      <c r="D31" s="20">
        <f>D23</f>
        <v/>
      </c>
      <c r="E31" s="37" t="n"/>
      <c r="F31" s="37" t="n"/>
      <c r="G31" s="30" t="n"/>
    </row>
    <row r="32">
      <c r="A32" s="21" t="inlineStr">
        <is>
          <t>归因合计</t>
        </is>
      </c>
      <c r="B32" s="37" t="n"/>
      <c r="C32" s="30" t="n"/>
      <c r="D32" s="20">
        <f>E23</f>
        <v/>
      </c>
      <c r="E32" s="37" t="n"/>
      <c r="F32" s="37" t="n"/>
      <c r="G32" s="30" t="n"/>
    </row>
    <row r="33">
      <c r="A33" s="21" t="inlineStr">
        <is>
          <t>归因校验</t>
        </is>
      </c>
      <c r="B33" s="37" t="n"/>
      <c r="C33" s="30" t="n"/>
      <c r="D33" s="22">
        <f>IF(ABS(G14-E23)&lt;0.0001,"✓ 一致","✗ 不一致")</f>
        <v/>
      </c>
      <c r="E33" s="37" t="n"/>
      <c r="F33" s="37" t="n"/>
      <c r="G33" s="30" t="n"/>
    </row>
    <row r="34"/>
    <row r="35">
      <c r="A35" s="24" t="inlineStr">
        <is>
          <t>【解读说明】
1. Brinson-Fachler 模型将超额收益分解为 3 个效应
2. 配置效应 &gt; 0：超配了表现好的资产（或低配了表现差的资产）
3. 选择效应 &gt; 0：在同类资产中选到了表现好的标的
4. 交互效应：是配置和选择的复合影响
5. 实务中常用多期归因（Cariño 平滑法）累积各期效应
6. 归因合计应等于总超额收益（归因校验 ✓ 表示数据一致）</t>
        </is>
      </c>
    </row>
    <row r="36"/>
    <row r="37"/>
    <row r="38"/>
    <row r="39"/>
  </sheetData>
  <mergeCells count="24">
    <mergeCell ref="A4:G4"/>
    <mergeCell ref="D30:G30"/>
    <mergeCell ref="A27:C27"/>
    <mergeCell ref="D33:G33"/>
    <mergeCell ref="D29:G29"/>
    <mergeCell ref="A26:C26"/>
    <mergeCell ref="A33:C33"/>
    <mergeCell ref="D26:G26"/>
    <mergeCell ref="A32:C32"/>
    <mergeCell ref="A35:G39"/>
    <mergeCell ref="A29:C29"/>
    <mergeCell ref="A28:C28"/>
    <mergeCell ref="D31:G31"/>
    <mergeCell ref="A1:G1"/>
    <mergeCell ref="A31:C31"/>
    <mergeCell ref="A16:G16"/>
    <mergeCell ref="A30:C30"/>
    <mergeCell ref="A7:G7"/>
    <mergeCell ref="A25:G25"/>
    <mergeCell ref="D27:G27"/>
    <mergeCell ref="D32:G32"/>
    <mergeCell ref="A3:G3"/>
    <mergeCell ref="D28:G28"/>
    <mergeCell ref="A5:G5"/>
  </mergeCells>
  <conditionalFormatting sqref="D33:G33">
    <cfRule type="cellIs" priority="1" operator="equal" dxfId="0">
      <formula>"✓ 一致"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VaR / CVaR 风险度量 · ALG-013</t>
        </is>
      </c>
    </row>
    <row r="2"/>
    <row r="3" ht="22" customHeight="1">
      <c r="A3" s="10" t="inlineStr">
        <is>
          <t>【算法】参数法 + 历史模拟法 VaR/CVaR</t>
        </is>
      </c>
    </row>
    <row r="4" ht="60" customHeight="1">
      <c r="A4" s="11" t="inlineStr">
        <is>
          <t>【公式】VaR_α = -q_α(R) | CVaR_α = -E[R | R ≤ -VaR_α] | 参数法: VaR_α = -(μ - z_α·σ)·V</t>
        </is>
      </c>
    </row>
    <row r="5" ht="60" customHeight="1">
      <c r="A5" s="12" t="inlineStr">
        <is>
          <t>【说明】本案例展示两种 VaR 计算方法：参数法（正态分布）和历史模拟法。置信度默认 95%，观测期 1 年（250 个交易日）。本工作表使用 20 个样本日作为示例演示。</t>
        </is>
      </c>
    </row>
    <row r="6"/>
    <row r="7" ht="22" customHeight="1">
      <c r="A7" s="4" t="inlineStr">
        <is>
          <t>一、参数</t>
        </is>
      </c>
    </row>
    <row r="8">
      <c r="A8" s="17" t="inlineStr">
        <is>
          <t>组合价值(万元)</t>
        </is>
      </c>
      <c r="B8" s="30" t="n"/>
      <c r="C8" s="47" t="n">
        <v>10000</v>
      </c>
      <c r="D8" s="30" t="n"/>
    </row>
    <row r="9">
      <c r="A9" s="17" t="inlineStr">
        <is>
          <t>置信度</t>
        </is>
      </c>
      <c r="B9" s="30" t="n"/>
      <c r="C9" s="50" t="n">
        <v>0.95</v>
      </c>
      <c r="D9" s="30" t="n"/>
    </row>
    <row r="10">
      <c r="A10" s="17" t="inlineStr">
        <is>
          <t>观测样本数</t>
        </is>
      </c>
      <c r="B10" s="30" t="n"/>
      <c r="C10" s="38" t="n">
        <v>20</v>
      </c>
      <c r="D10" s="30" t="n"/>
    </row>
    <row r="11">
      <c r="A11" s="17" t="inlineStr">
        <is>
          <t>期望日收益率 μ</t>
        </is>
      </c>
      <c r="B11" s="30" t="n"/>
      <c r="C11" s="62" t="n">
        <v>0.0005</v>
      </c>
      <c r="D11" s="30" t="n"/>
    </row>
    <row r="12">
      <c r="A12" s="17" t="inlineStr">
        <is>
          <t>日波动率 σ</t>
        </is>
      </c>
      <c r="B12" s="30" t="n"/>
      <c r="C12" s="50" t="n">
        <v>0.015</v>
      </c>
      <c r="D12" s="30" t="n"/>
    </row>
    <row r="13"/>
    <row r="14" ht="22" customHeight="1">
      <c r="A14" s="4" t="inlineStr">
        <is>
          <t>二、日收益率序列（20天示例）</t>
        </is>
      </c>
    </row>
    <row r="15">
      <c r="A15" s="5" t="inlineStr">
        <is>
          <t>天</t>
        </is>
      </c>
      <c r="B15" s="5" t="inlineStr">
        <is>
          <t>日收益率</t>
        </is>
      </c>
      <c r="C15" s="5" t="inlineStr">
        <is>
          <t>累计收益</t>
        </is>
      </c>
      <c r="D15" s="5" t="inlineStr">
        <is>
          <t>天</t>
        </is>
      </c>
      <c r="E15" s="5" t="inlineStr">
        <is>
          <t>日收益率</t>
        </is>
      </c>
      <c r="F15" s="5" t="inlineStr">
        <is>
          <t>累计收益</t>
        </is>
      </c>
      <c r="G15" s="5" t="inlineStr">
        <is>
          <t>注</t>
        </is>
      </c>
    </row>
    <row r="16">
      <c r="A16" s="6" t="n">
        <v>1</v>
      </c>
      <c r="B16" s="63" t="n">
        <v>0.007950712295168489</v>
      </c>
      <c r="C16" s="64">
        <f>B16</f>
        <v/>
      </c>
      <c r="D16" s="6" t="n">
        <v>11</v>
      </c>
      <c r="E16" s="63" t="n">
        <v>-0.006451265392186933</v>
      </c>
      <c r="F16" s="64">
        <f>E16</f>
        <v/>
      </c>
    </row>
    <row r="17">
      <c r="A17" s="6" t="n">
        <v>2</v>
      </c>
      <c r="B17" s="63" t="n">
        <v>-0.00157396451756777</v>
      </c>
      <c r="C17" s="64">
        <f>C16+B17</f>
        <v/>
      </c>
      <c r="D17" s="6" t="n">
        <v>12</v>
      </c>
      <c r="E17" s="63" t="n">
        <v>-0.006485946303553853</v>
      </c>
      <c r="F17" s="64">
        <f>F16+E17</f>
        <v/>
      </c>
    </row>
    <row r="18">
      <c r="A18" s="6" t="n">
        <v>3</v>
      </c>
      <c r="B18" s="63" t="n">
        <v>0.01021532807151039</v>
      </c>
      <c r="C18" s="64">
        <f>C17+B18</f>
        <v/>
      </c>
      <c r="D18" s="6" t="n">
        <v>13</v>
      </c>
      <c r="E18" s="63" t="n">
        <v>0.004129434073490512</v>
      </c>
      <c r="F18" s="64">
        <f>F17+E18</f>
        <v/>
      </c>
    </row>
    <row r="19">
      <c r="A19" s="6" t="n">
        <v>4</v>
      </c>
      <c r="B19" s="63" t="n">
        <v>0.02334544784612038</v>
      </c>
      <c r="C19" s="64">
        <f>C18+B19</f>
        <v/>
      </c>
      <c r="D19" s="6" t="n">
        <v>14</v>
      </c>
      <c r="E19" s="63" t="n">
        <v>-0.02819920366986697</v>
      </c>
      <c r="F19" s="64">
        <f>F18+E19</f>
        <v/>
      </c>
    </row>
    <row r="20">
      <c r="A20" s="6" t="n">
        <v>5</v>
      </c>
      <c r="B20" s="63" t="n">
        <v>-0.00301230062085004</v>
      </c>
      <c r="C20" s="64">
        <f>C19+B20</f>
        <v/>
      </c>
      <c r="D20" s="6" t="n">
        <v>15</v>
      </c>
      <c r="E20" s="63" t="n">
        <v>-0.02537376748769549</v>
      </c>
      <c r="F20" s="64">
        <f>F19+E20</f>
        <v/>
      </c>
    </row>
    <row r="21">
      <c r="A21" s="6" t="n">
        <v>6</v>
      </c>
      <c r="B21" s="63" t="n">
        <v>-0.003012054354237708</v>
      </c>
      <c r="C21" s="64">
        <f>C20+B21</f>
        <v/>
      </c>
      <c r="D21" s="6" t="n">
        <v>16</v>
      </c>
      <c r="E21" s="63" t="n">
        <v>-0.007934312938614589</v>
      </c>
      <c r="F21" s="64">
        <f>F20+E21</f>
        <v/>
      </c>
    </row>
    <row r="22">
      <c r="A22" s="6" t="n">
        <v>7</v>
      </c>
      <c r="B22" s="63" t="n">
        <v>0.02418819223261087</v>
      </c>
      <c r="C22" s="64">
        <f>C21+B22</f>
        <v/>
      </c>
      <c r="D22" s="6" t="n">
        <v>17</v>
      </c>
      <c r="E22" s="63" t="n">
        <v>-0.01469246680501636</v>
      </c>
      <c r="F22" s="64">
        <f>F21+E22</f>
        <v/>
      </c>
    </row>
    <row r="23">
      <c r="A23" s="6" t="n">
        <v>8</v>
      </c>
      <c r="B23" s="63" t="n">
        <v>0.01201152093729363</v>
      </c>
      <c r="C23" s="64">
        <f>C22+B23</f>
        <v/>
      </c>
      <c r="D23" s="6" t="n">
        <v>18</v>
      </c>
      <c r="E23" s="63" t="n">
        <v>0.005213709988929107</v>
      </c>
      <c r="F23" s="64">
        <f>F22+E23</f>
        <v/>
      </c>
    </row>
    <row r="24">
      <c r="A24" s="6" t="n">
        <v>9</v>
      </c>
      <c r="B24" s="63" t="n">
        <v>-0.006542115789024281</v>
      </c>
      <c r="C24" s="64">
        <f>C23+B24</f>
        <v/>
      </c>
      <c r="D24" s="6" t="n">
        <v>19</v>
      </c>
      <c r="E24" s="63" t="n">
        <v>-0.01312036113281816</v>
      </c>
      <c r="F24" s="64">
        <f>F23+E24</f>
        <v/>
      </c>
    </row>
    <row r="25">
      <c r="A25" s="6" t="n">
        <v>10</v>
      </c>
      <c r="B25" s="63" t="n">
        <v>0.00863840065378947</v>
      </c>
      <c r="C25" s="64">
        <f>C24+B25</f>
        <v/>
      </c>
      <c r="D25" s="6" t="n">
        <v>20</v>
      </c>
      <c r="E25" s="63" t="n">
        <v>-0.02068455552002937</v>
      </c>
      <c r="F25" s="64">
        <f>F24+E25</f>
        <v/>
      </c>
    </row>
    <row r="26"/>
    <row r="27">
      <c r="A27" s="52" t="inlineStr">
        <is>
          <t>注：实际生产应使用250天日收益率数据</t>
        </is>
      </c>
    </row>
    <row r="28"/>
    <row r="29" ht="22" customHeight="1">
      <c r="A29" s="4" t="inlineStr">
        <is>
          <t>三、收益率统计</t>
        </is>
      </c>
    </row>
    <row r="30">
      <c r="A30" s="17" t="inlineStr">
        <is>
          <t>样本均值</t>
        </is>
      </c>
      <c r="B30" s="37" t="n"/>
      <c r="C30" s="30" t="n"/>
      <c r="D30" s="65">
        <f>AVERAGE(B16:B25,E16:E25)</f>
        <v/>
      </c>
      <c r="E30" s="37" t="n"/>
      <c r="F30" s="37" t="n"/>
      <c r="G30" s="30" t="n"/>
    </row>
    <row r="31">
      <c r="A31" s="17" t="inlineStr">
        <is>
          <t>样本标准差</t>
        </is>
      </c>
      <c r="B31" s="37" t="n"/>
      <c r="C31" s="30" t="n"/>
      <c r="D31" s="20">
        <f>STDEV(B16:B25,E16:E25)</f>
        <v/>
      </c>
      <c r="E31" s="37" t="n"/>
      <c r="F31" s="37" t="n"/>
      <c r="G31" s="30" t="n"/>
    </row>
    <row r="32">
      <c r="A32" s="17" t="inlineStr">
        <is>
          <t>最大日收益</t>
        </is>
      </c>
      <c r="B32" s="37" t="n"/>
      <c r="C32" s="30" t="n"/>
      <c r="D32" s="20">
        <f>MAX(B16:B25,E16:E25)</f>
        <v/>
      </c>
      <c r="E32" s="37" t="n"/>
      <c r="F32" s="37" t="n"/>
      <c r="G32" s="30" t="n"/>
    </row>
    <row r="33">
      <c r="A33" s="17" t="inlineStr">
        <is>
          <t>最小日收益</t>
        </is>
      </c>
      <c r="B33" s="37" t="n"/>
      <c r="C33" s="30" t="n"/>
      <c r="D33" s="20">
        <f>MIN(B16:B25,E16:E25)</f>
        <v/>
      </c>
      <c r="E33" s="37" t="n"/>
      <c r="F33" s="37" t="n"/>
      <c r="G33" s="30" t="n"/>
    </row>
    <row r="34">
      <c r="A34" s="17" t="inlineStr">
        <is>
          <t>偏度</t>
        </is>
      </c>
      <c r="B34" s="37" t="n"/>
      <c r="C34" s="30" t="n"/>
      <c r="D34" s="66">
        <f>SKEW(B16:B25,E16:E25)</f>
        <v/>
      </c>
      <c r="E34" s="37" t="n"/>
      <c r="F34" s="37" t="n"/>
      <c r="G34" s="30" t="n"/>
    </row>
    <row r="35">
      <c r="A35" s="17" t="inlineStr">
        <is>
          <t>峰度</t>
        </is>
      </c>
      <c r="B35" s="37" t="n"/>
      <c r="C35" s="30" t="n"/>
      <c r="D35" s="66">
        <f>KURT(B16:B25,E16:E25)</f>
        <v/>
      </c>
      <c r="E35" s="37" t="n"/>
      <c r="F35" s="37" t="n"/>
      <c r="G35" s="30" t="n"/>
    </row>
    <row r="36"/>
    <row r="37" ht="22" customHeight="1">
      <c r="A37" s="4" t="inlineStr">
        <is>
          <t>四、VaR / CVaR 计算结果</t>
        </is>
      </c>
    </row>
    <row r="38">
      <c r="A38" s="21" t="inlineStr">
        <is>
          <t>参数法 VaR (95%)</t>
        </is>
      </c>
      <c r="B38" s="37" t="n"/>
      <c r="C38" s="30" t="n"/>
      <c r="D38" s="18">
        <f>(C11-C12*NORM.S.INV(C9))*C8</f>
        <v/>
      </c>
      <c r="E38" s="37" t="n"/>
      <c r="F38" s="37" t="n"/>
      <c r="G38" s="30" t="n"/>
    </row>
    <row r="39">
      <c r="A39" s="21" t="inlineStr">
        <is>
          <t>参数法 VaR (99%)</t>
        </is>
      </c>
      <c r="B39" s="37" t="n"/>
      <c r="C39" s="30" t="n"/>
      <c r="D39" s="18">
        <f>(C11-C12*NORM.S.INV(0.99))*C8</f>
        <v/>
      </c>
      <c r="E39" s="37" t="n"/>
      <c r="F39" s="37" t="n"/>
      <c r="G39" s="30" t="n"/>
    </row>
    <row r="40">
      <c r="A40" s="21" t="inlineStr">
        <is>
          <t>历史模拟法 VaR (95%)</t>
        </is>
      </c>
      <c r="B40" s="37" t="n"/>
      <c r="C40" s="30" t="n"/>
      <c r="D40" s="18">
        <f>-PERCENTILE((B16:B25,E16:E25),(1-C9))*C8</f>
        <v/>
      </c>
      <c r="E40" s="37" t="n"/>
      <c r="F40" s="37" t="n"/>
      <c r="G40" s="30" t="n"/>
    </row>
    <row r="41">
      <c r="A41" s="21" t="inlineStr">
        <is>
          <t>历史模拟法 VaR (99%)</t>
        </is>
      </c>
      <c r="B41" s="37" t="n"/>
      <c r="C41" s="30" t="n"/>
      <c r="D41" s="18">
        <f>-PERCENTILE((B16:B25,E16:E25),0.01)*C8</f>
        <v/>
      </c>
      <c r="E41" s="37" t="n"/>
      <c r="F41" s="37" t="n"/>
      <c r="G41" s="30" t="n"/>
    </row>
    <row r="42">
      <c r="A42" s="21" t="inlineStr">
        <is>
          <t>1日 VaR占组合比</t>
        </is>
      </c>
      <c r="B42" s="37" t="n"/>
      <c r="C42" s="30" t="n"/>
      <c r="D42" s="20">
        <f>D38/C8</f>
        <v/>
      </c>
      <c r="E42" s="37" t="n"/>
      <c r="F42" s="37" t="n"/>
      <c r="G42" s="30" t="n"/>
    </row>
    <row r="43">
      <c r="A43" s="21" t="inlineStr">
        <is>
          <t>年化 VaR (×√250)</t>
        </is>
      </c>
      <c r="B43" s="37" t="n"/>
      <c r="C43" s="30" t="n"/>
      <c r="D43" s="18">
        <f>D38*SQRT(250)</f>
        <v/>
      </c>
      <c r="E43" s="37" t="n"/>
      <c r="F43" s="37" t="n"/>
      <c r="G43" s="30" t="n"/>
    </row>
    <row r="44">
      <c r="A44" s="21" t="inlineStr">
        <is>
          <t>判定</t>
        </is>
      </c>
      <c r="B44" s="37" t="n"/>
      <c r="C44" s="30" t="n"/>
      <c r="D44" s="22">
        <f>IF(D38/C8&lt;0.02,"✓ 风险可控","⚠ 需关注")</f>
        <v/>
      </c>
      <c r="E44" s="37" t="n"/>
      <c r="F44" s="37" t="n"/>
      <c r="G44" s="30" t="n"/>
    </row>
    <row r="45"/>
    <row r="46"/>
    <row r="47">
      <c r="A47" s="24" t="inlineStr">
        <is>
          <t>【解读说明】
1. VaR (Value at Risk)：在给定置信度下的最大可能损失
2. CVaR (Conditional VaR)：超过 VaR 的平均损失
3. 参数法假设收益率服从正态分布，适用于流动性好的资产
4. 历史模拟法不假设分布，直接使用历史数据，更稳健
5. 蒙特卡洛法（更复杂）：模拟大量未来情景
6. 回溯测试方法：Kupiec 检验、Christoffersen 检验
7. 实务建议：
   - 多方法交叉验证
   - 1日 VaR 乘以 √T 转年化
   - 报告 CVaR 比 VaR 更稳健（次可加性）
   - 应定期用真实损失数据验证 VaR 准确性</t>
        </is>
      </c>
    </row>
    <row r="48"/>
    <row r="49"/>
    <row r="50"/>
    <row r="51"/>
  </sheetData>
  <mergeCells count="46">
    <mergeCell ref="A14:G14"/>
    <mergeCell ref="A41:C41"/>
    <mergeCell ref="D39:G39"/>
    <mergeCell ref="A11:B11"/>
    <mergeCell ref="A4:G4"/>
    <mergeCell ref="D30:G30"/>
    <mergeCell ref="A29:G29"/>
    <mergeCell ref="D33:G33"/>
    <mergeCell ref="D42:G42"/>
    <mergeCell ref="A47:G51"/>
    <mergeCell ref="D38:G38"/>
    <mergeCell ref="A42:C42"/>
    <mergeCell ref="A33:C33"/>
    <mergeCell ref="C10:D10"/>
    <mergeCell ref="D35:G35"/>
    <mergeCell ref="A32:C32"/>
    <mergeCell ref="D44:G44"/>
    <mergeCell ref="D34:G34"/>
    <mergeCell ref="C9:D9"/>
    <mergeCell ref="A35:C35"/>
    <mergeCell ref="A43:C43"/>
    <mergeCell ref="A38:C38"/>
    <mergeCell ref="A12:B12"/>
    <mergeCell ref="D40:G40"/>
    <mergeCell ref="C12:D12"/>
    <mergeCell ref="D31:G31"/>
    <mergeCell ref="A1:G1"/>
    <mergeCell ref="A44:C44"/>
    <mergeCell ref="C11:D11"/>
    <mergeCell ref="A31:C31"/>
    <mergeCell ref="A40:C40"/>
    <mergeCell ref="A30:C30"/>
    <mergeCell ref="A7:G7"/>
    <mergeCell ref="A34:C34"/>
    <mergeCell ref="A39:C39"/>
    <mergeCell ref="A8:B8"/>
    <mergeCell ref="C8:D8"/>
    <mergeCell ref="D32:G32"/>
    <mergeCell ref="A37:G37"/>
    <mergeCell ref="D41:G41"/>
    <mergeCell ref="A27:G27"/>
    <mergeCell ref="A3:G3"/>
    <mergeCell ref="A10:B10"/>
    <mergeCell ref="D43:G43"/>
    <mergeCell ref="A9:B9"/>
    <mergeCell ref="A5:G5"/>
  </mergeCells>
  <conditionalFormatting sqref="D44:G44">
    <cfRule type="cellIs" priority="1" operator="equal" dxfId="0">
      <formula>"✓ 风险可控"</formula>
    </cfRule>
    <cfRule type="cellIs" priority="2" operator="equal" dxfId="1">
      <formula>"⚠ 需关注"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2026-08-25T00:54:51Z</dcterms:created>
  <dcterms:modified xmlns:dcterms="http://purl.org/dc/terms/" xmlns:xsi="http://www.w3.org/2001/XMLSchema-instance" xsi:type="dcterms:W3CDTF">2026-08-25T01:10:10Z</dcterms:modified>
</cp:coreProperties>
</file>